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GIthub Account\Assesment\"/>
    </mc:Choice>
  </mc:AlternateContent>
  <xr:revisionPtr revIDLastSave="0" documentId="13_ncr:1_{3B783E9F-4FEF-4B34-949A-ECC844102E2B}" xr6:coauthVersionLast="47" xr6:coauthVersionMax="47" xr10:uidLastSave="{00000000-0000-0000-0000-000000000000}"/>
  <bookViews>
    <workbookView xWindow="-120" yWindow="-120" windowWidth="29040" windowHeight="15840" activeTab="2" xr2:uid="{00000000-000D-0000-FFFF-FFFF00000000}"/>
  </bookViews>
  <sheets>
    <sheet name="Data" sheetId="1" r:id="rId1"/>
    <sheet name="Pivot_Table" sheetId="3" r:id="rId2"/>
    <sheet name="Dashboard" sheetId="5" r:id="rId3"/>
  </sheets>
  <definedNames>
    <definedName name="Slicer_Category">#N/A</definedName>
    <definedName name="Slicer_Customer_Type">#N/A</definedName>
    <definedName name="Slicer_Months">#N/A</definedName>
    <definedName name="Slicer_Payment_Mode">#N/A</definedName>
    <definedName name="Slicer_Region">#N/A</definedName>
  </definedNames>
  <calcPr calcId="191029"/>
  <pivotCaches>
    <pivotCache cacheId="2" r:id="rId4"/>
    <pivotCache cacheId="3" r:id="rId5"/>
  </pivotCaches>
  <extLst>
    <ext xmlns:x14="http://schemas.microsoft.com/office/spreadsheetml/2009/9/main" uri="{876F7934-8845-4945-9796-88D515C7AA90}">
      <x14:pivotCaches>
        <pivotCache cacheId="4" r:id="rId6"/>
      </x14:pivotCaches>
    </ex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a="1"/>
  <c r="I2" i="1" s="1"/>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35"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36" i="3"/>
  <c r="F35" i="3"/>
  <c r="E35" i="3"/>
  <c r="J2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<sst xmlns="http://schemas.openxmlformats.org/spreadsheetml/2006/main" count="10679" uniqueCount="665">
  <si>
    <t>Customer ID</t>
  </si>
  <si>
    <t>Customer Name</t>
  </si>
  <si>
    <t>Region</t>
  </si>
  <si>
    <t>Category</t>
  </si>
  <si>
    <t>Product</t>
  </si>
  <si>
    <t>Quantity</t>
  </si>
  <si>
    <t>Unit Price</t>
  </si>
  <si>
    <t>Date</t>
  </si>
  <si>
    <t>Discount %</t>
  </si>
  <si>
    <t>Sales Rep</t>
  </si>
  <si>
    <t>Payment Mode</t>
  </si>
  <si>
    <t>City</t>
  </si>
  <si>
    <t>Total Sales</t>
  </si>
  <si>
    <t>Profit</t>
  </si>
  <si>
    <t>Order Status</t>
  </si>
  <si>
    <t>Customer Type</t>
  </si>
  <si>
    <t>Isha</t>
  </si>
  <si>
    <t>North</t>
  </si>
  <si>
    <t>Accessories</t>
  </si>
  <si>
    <t>Mouse</t>
  </si>
  <si>
    <t>12-02-2023</t>
  </si>
  <si>
    <t>Jay</t>
  </si>
  <si>
    <t>Net Banking</t>
  </si>
  <si>
    <t>Indore</t>
  </si>
  <si>
    <t>Delivered</t>
  </si>
  <si>
    <t>New</t>
  </si>
  <si>
    <t>Riya</t>
  </si>
  <si>
    <t>East</t>
  </si>
  <si>
    <t>Home Appliances</t>
  </si>
  <si>
    <t>Microwave</t>
  </si>
  <si>
    <t>10-03-2024</t>
  </si>
  <si>
    <t>Card</t>
  </si>
  <si>
    <t>Bengaluru</t>
  </si>
  <si>
    <t>Returned</t>
  </si>
  <si>
    <t>Rahul</t>
  </si>
  <si>
    <t>South</t>
  </si>
  <si>
    <t>Headphones</t>
  </si>
  <si>
    <t>09-04-2023</t>
  </si>
  <si>
    <t>Kavya</t>
  </si>
  <si>
    <t>Ahmedabad</t>
  </si>
  <si>
    <t>Pending</t>
  </si>
  <si>
    <t>Meera</t>
  </si>
  <si>
    <t>Furniture</t>
  </si>
  <si>
    <t>Desk</t>
  </si>
  <si>
    <t>13-08-2023</t>
  </si>
  <si>
    <t>Nitin</t>
  </si>
  <si>
    <t>Cash</t>
  </si>
  <si>
    <t>Surat</t>
  </si>
  <si>
    <t>Fridge</t>
  </si>
  <si>
    <t>01-09-2023</t>
  </si>
  <si>
    <t>Mumbai</t>
  </si>
  <si>
    <t>Neha</t>
  </si>
  <si>
    <t>Sofa</t>
  </si>
  <si>
    <t>01-01-2024</t>
  </si>
  <si>
    <t>Amit</t>
  </si>
  <si>
    <t>UPI</t>
  </si>
  <si>
    <t>Returning</t>
  </si>
  <si>
    <t>05-12-2023</t>
  </si>
  <si>
    <t>Sonal</t>
  </si>
  <si>
    <t>Chair</t>
  </si>
  <si>
    <t>07-06-2024</t>
  </si>
  <si>
    <t>Arjun</t>
  </si>
  <si>
    <t>Mobile</t>
  </si>
  <si>
    <t>04-04-2023</t>
  </si>
  <si>
    <t>Jaipur</t>
  </si>
  <si>
    <t>Cancelled</t>
  </si>
  <si>
    <t>17-09-2023</t>
  </si>
  <si>
    <t>Anita</t>
  </si>
  <si>
    <t>West</t>
  </si>
  <si>
    <t>Electronics</t>
  </si>
  <si>
    <t>Laptop</t>
  </si>
  <si>
    <t>29-01-2023</t>
  </si>
  <si>
    <t>Charger</t>
  </si>
  <si>
    <t>12-05-2023</t>
  </si>
  <si>
    <t>Mihir</t>
  </si>
  <si>
    <t>VIP</t>
  </si>
  <si>
    <t>Clothing</t>
  </si>
  <si>
    <t>Shirt</t>
  </si>
  <si>
    <t>31-10-2023</t>
  </si>
  <si>
    <t>Aman</t>
  </si>
  <si>
    <t>16-03-2024</t>
  </si>
  <si>
    <t>Pune</t>
  </si>
  <si>
    <t>05-10-2023</t>
  </si>
  <si>
    <t>07-11-2023</t>
  </si>
  <si>
    <t>Dev</t>
  </si>
  <si>
    <t>30-05-2024</t>
  </si>
  <si>
    <t>27-05-2024</t>
  </si>
  <si>
    <t>08-02-2023</t>
  </si>
  <si>
    <t>13-01-2024</t>
  </si>
  <si>
    <t>01-03-2023</t>
  </si>
  <si>
    <t>27-06-2024</t>
  </si>
  <si>
    <t>Vikas</t>
  </si>
  <si>
    <t>Jeans</t>
  </si>
  <si>
    <t>02-12-2024</t>
  </si>
  <si>
    <t>Rohit</t>
  </si>
  <si>
    <t>19-11-2023</t>
  </si>
  <si>
    <t>Pooja</t>
  </si>
  <si>
    <t>29-02-2024</t>
  </si>
  <si>
    <t>Monitor</t>
  </si>
  <si>
    <t>17-03-2024</t>
  </si>
  <si>
    <t>Delhi</t>
  </si>
  <si>
    <t>Jacket</t>
  </si>
  <si>
    <t>02-10-2023</t>
  </si>
  <si>
    <t>Mixer</t>
  </si>
  <si>
    <t>06-09-2023</t>
  </si>
  <si>
    <t>10-12-2024</t>
  </si>
  <si>
    <t>13-09-2024</t>
  </si>
  <si>
    <t>Sneha</t>
  </si>
  <si>
    <t>06-08-2023</t>
  </si>
  <si>
    <t>Karan</t>
  </si>
  <si>
    <t>29-03-2024</t>
  </si>
  <si>
    <t>12-02-2024</t>
  </si>
  <si>
    <t>30-10-2024</t>
  </si>
  <si>
    <t>09-10-2023</t>
  </si>
  <si>
    <t>27-08-2024</t>
  </si>
  <si>
    <t>Priya</t>
  </si>
  <si>
    <t>18-03-2024</t>
  </si>
  <si>
    <t>25-10-2024</t>
  </si>
  <si>
    <t>11-11-2024</t>
  </si>
  <si>
    <t>01-11-2023</t>
  </si>
  <si>
    <t>08-08-2024</t>
  </si>
  <si>
    <t>Tablet</t>
  </si>
  <si>
    <t>25-11-2023</t>
  </si>
  <si>
    <t>08-04-2023</t>
  </si>
  <si>
    <t>25-10-2023</t>
  </si>
  <si>
    <t>13-02-2024</t>
  </si>
  <si>
    <t>16-09-2023</t>
  </si>
  <si>
    <t>26-03-2024</t>
  </si>
  <si>
    <t>23-05-2024</t>
  </si>
  <si>
    <t>19-02-2023</t>
  </si>
  <si>
    <t>05-11-2024</t>
  </si>
  <si>
    <t>14-04-2023</t>
  </si>
  <si>
    <t>25-11-2024</t>
  </si>
  <si>
    <t>25-01-2024</t>
  </si>
  <si>
    <t>10-07-2024</t>
  </si>
  <si>
    <t>10-06-2023</t>
  </si>
  <si>
    <t>05-03-2024</t>
  </si>
  <si>
    <t>18-11-2023</t>
  </si>
  <si>
    <t>22-11-2024</t>
  </si>
  <si>
    <t>02-07-2023</t>
  </si>
  <si>
    <t>17-10-2024</t>
  </si>
  <si>
    <t>20-02-2023</t>
  </si>
  <si>
    <t>09-11-2023</t>
  </si>
  <si>
    <t>31-10-2024</t>
  </si>
  <si>
    <t>27-01-2023</t>
  </si>
  <si>
    <t>09-04-2024</t>
  </si>
  <si>
    <t>23-10-2024</t>
  </si>
  <si>
    <t>29-12-2023</t>
  </si>
  <si>
    <t>21-01-2024</t>
  </si>
  <si>
    <t>13-06-2024</t>
  </si>
  <si>
    <t>10-10-2024</t>
  </si>
  <si>
    <t>21-11-2023</t>
  </si>
  <si>
    <t>12-03-2024</t>
  </si>
  <si>
    <t>19-09-2023</t>
  </si>
  <si>
    <t>01-09-2024</t>
  </si>
  <si>
    <t>10-03-2023</t>
  </si>
  <si>
    <t>07-04-2024</t>
  </si>
  <si>
    <t>01-08-2024</t>
  </si>
  <si>
    <t>02-03-2023</t>
  </si>
  <si>
    <t>21-02-2023</t>
  </si>
  <si>
    <t>10-11-2023</t>
  </si>
  <si>
    <t>10-10-2023</t>
  </si>
  <si>
    <t>16-02-2023</t>
  </si>
  <si>
    <t>20-07-2024</t>
  </si>
  <si>
    <t>21-09-2023</t>
  </si>
  <si>
    <t>16-07-2023</t>
  </si>
  <si>
    <t>30-06-2023</t>
  </si>
  <si>
    <t>12-06-2024</t>
  </si>
  <si>
    <t>19-10-2024</t>
  </si>
  <si>
    <t>22-06-2023</t>
  </si>
  <si>
    <t>28-01-2023</t>
  </si>
  <si>
    <t>10-04-2024</t>
  </si>
  <si>
    <t>23-07-2024</t>
  </si>
  <si>
    <t>20-04-2024</t>
  </si>
  <si>
    <t>16-01-2024</t>
  </si>
  <si>
    <t>28-12-2023</t>
  </si>
  <si>
    <t>23-05-2023</t>
  </si>
  <si>
    <t>06-04-2023</t>
  </si>
  <si>
    <t>10-05-2023</t>
  </si>
  <si>
    <t>09-09-2024</t>
  </si>
  <si>
    <t>09-02-2023</t>
  </si>
  <si>
    <t>06-02-2024</t>
  </si>
  <si>
    <t>27-06-2023</t>
  </si>
  <si>
    <t>07-02-2023</t>
  </si>
  <si>
    <t>12-01-2024</t>
  </si>
  <si>
    <t>15-05-2023</t>
  </si>
  <si>
    <t>18-12-2024</t>
  </si>
  <si>
    <t>17-06-2024</t>
  </si>
  <si>
    <t>19-06-2023</t>
  </si>
  <si>
    <t>19-05-2023</t>
  </si>
  <si>
    <t>22-05-2024</t>
  </si>
  <si>
    <t>16-12-2024</t>
  </si>
  <si>
    <t>18-07-2023</t>
  </si>
  <si>
    <t>18-02-2023</t>
  </si>
  <si>
    <t>28-03-2023</t>
  </si>
  <si>
    <t>25-12-2024</t>
  </si>
  <si>
    <t>12-05-2024</t>
  </si>
  <si>
    <t>29-06-2024</t>
  </si>
  <si>
    <t>09-08-2024</t>
  </si>
  <si>
    <t>15-04-2024</t>
  </si>
  <si>
    <t>30-10-2023</t>
  </si>
  <si>
    <t>20-10-2023</t>
  </si>
  <si>
    <t>07-07-2023</t>
  </si>
  <si>
    <t>27-11-2024</t>
  </si>
  <si>
    <t>11-07-2024</t>
  </si>
  <si>
    <t>16-03-2023</t>
  </si>
  <si>
    <t>17-10-2023</t>
  </si>
  <si>
    <t>29-08-2024</t>
  </si>
  <si>
    <t>18-08-2024</t>
  </si>
  <si>
    <t>05-06-2023</t>
  </si>
  <si>
    <t>19-05-2024</t>
  </si>
  <si>
    <t>03-03-2023</t>
  </si>
  <si>
    <t>08-01-2023</t>
  </si>
  <si>
    <t>09-06-2024</t>
  </si>
  <si>
    <t>06-12-2023</t>
  </si>
  <si>
    <t>25-03-2024</t>
  </si>
  <si>
    <t>09-01-2023</t>
  </si>
  <si>
    <t>24-09-2023</t>
  </si>
  <si>
    <t>23-07-2023</t>
  </si>
  <si>
    <t>13-05-2023</t>
  </si>
  <si>
    <t>07-07-2024</t>
  </si>
  <si>
    <t>01-03-2024</t>
  </si>
  <si>
    <t>27-11-2023</t>
  </si>
  <si>
    <t>24-12-2023</t>
  </si>
  <si>
    <t>21-05-2023</t>
  </si>
  <si>
    <t>21-04-2023</t>
  </si>
  <si>
    <t>27-09-2024</t>
  </si>
  <si>
    <t>21-04-2024</t>
  </si>
  <si>
    <t>30-11-2023</t>
  </si>
  <si>
    <t>28-01-2024</t>
  </si>
  <si>
    <t>13-11-2023</t>
  </si>
  <si>
    <t>01-11-2024</t>
  </si>
  <si>
    <t>08-10-2023</t>
  </si>
  <si>
    <t>21-08-2023</t>
  </si>
  <si>
    <t>09-07-2024</t>
  </si>
  <si>
    <t>05-06-2024</t>
  </si>
  <si>
    <t>07-12-2023</t>
  </si>
  <si>
    <t>09-05-2024</t>
  </si>
  <si>
    <t>18-08-2023</t>
  </si>
  <si>
    <t>10-09-2024</t>
  </si>
  <si>
    <t>02-06-2023</t>
  </si>
  <si>
    <t>13-03-2024</t>
  </si>
  <si>
    <t>21-12-2023</t>
  </si>
  <si>
    <t>30-04-2024</t>
  </si>
  <si>
    <t>24-07-2023</t>
  </si>
  <si>
    <t>04-08-2023</t>
  </si>
  <si>
    <t>02-01-2023</t>
  </si>
  <si>
    <t>25-05-2023</t>
  </si>
  <si>
    <t>17-12-2024</t>
  </si>
  <si>
    <t>20-09-2024</t>
  </si>
  <si>
    <t>01-08-2023</t>
  </si>
  <si>
    <t>05-04-2024</t>
  </si>
  <si>
    <t>03-06-2024</t>
  </si>
  <si>
    <t>08-12-2024</t>
  </si>
  <si>
    <t>29-07-2024</t>
  </si>
  <si>
    <t>09-03-2023</t>
  </si>
  <si>
    <t>30-11-2024</t>
  </si>
  <si>
    <t>16-07-2024</t>
  </si>
  <si>
    <t>04-09-2023</t>
  </si>
  <si>
    <t>11-03-2023</t>
  </si>
  <si>
    <t>26-04-2023</t>
  </si>
  <si>
    <t>10-05-2024</t>
  </si>
  <si>
    <t>30-07-2024</t>
  </si>
  <si>
    <t>12-07-2024</t>
  </si>
  <si>
    <t>10-11-2024</t>
  </si>
  <si>
    <t>24-06-2023</t>
  </si>
  <si>
    <t>12-12-2024</t>
  </si>
  <si>
    <t>16-10-2024</t>
  </si>
  <si>
    <t>15-04-2023</t>
  </si>
  <si>
    <t>11-08-2024</t>
  </si>
  <si>
    <t>13-03-2023</t>
  </si>
  <si>
    <t>07-08-2023</t>
  </si>
  <si>
    <t>31-05-2024</t>
  </si>
  <si>
    <t>31-03-2023</t>
  </si>
  <si>
    <t>14-06-2024</t>
  </si>
  <si>
    <t>04-05-2023</t>
  </si>
  <si>
    <t>22-11-2023</t>
  </si>
  <si>
    <t>05-01-2024</t>
  </si>
  <si>
    <t>03-01-2024</t>
  </si>
  <si>
    <t>13-07-2024</t>
  </si>
  <si>
    <t>01-04-2024</t>
  </si>
  <si>
    <t>24-08-2023</t>
  </si>
  <si>
    <t>11-02-2023</t>
  </si>
  <si>
    <t>02-02-2023</t>
  </si>
  <si>
    <t>01-05-2023</t>
  </si>
  <si>
    <t>06-05-2023</t>
  </si>
  <si>
    <t>11-09-2024</t>
  </si>
  <si>
    <t>24-01-2024</t>
  </si>
  <si>
    <t>18-06-2023</t>
  </si>
  <si>
    <t>04-01-2023</t>
  </si>
  <si>
    <t>02-07-2024</t>
  </si>
  <si>
    <t>16-11-2023</t>
  </si>
  <si>
    <t>01-06-2024</t>
  </si>
  <si>
    <t>08-12-2023</t>
  </si>
  <si>
    <t>08-02-2024</t>
  </si>
  <si>
    <t>22-10-2023</t>
  </si>
  <si>
    <t>11-05-2024</t>
  </si>
  <si>
    <t>25-07-2023</t>
  </si>
  <si>
    <t>17-07-2023</t>
  </si>
  <si>
    <t>11-06-2024</t>
  </si>
  <si>
    <t>25-04-2023</t>
  </si>
  <si>
    <t>11-12-2024</t>
  </si>
  <si>
    <t>30-05-2023</t>
  </si>
  <si>
    <t>17-05-2024</t>
  </si>
  <si>
    <t>18-04-2023</t>
  </si>
  <si>
    <t>24-11-2024</t>
  </si>
  <si>
    <t>15-03-2023</t>
  </si>
  <si>
    <t>26-11-2024</t>
  </si>
  <si>
    <t>29-12-2024</t>
  </si>
  <si>
    <t>02-04-2023</t>
  </si>
  <si>
    <t>15-06-2024</t>
  </si>
  <si>
    <t>17-03-2023</t>
  </si>
  <si>
    <t>03-02-2024</t>
  </si>
  <si>
    <t>13-05-2024</t>
  </si>
  <si>
    <t>14-02-2023</t>
  </si>
  <si>
    <t>28-11-2024</t>
  </si>
  <si>
    <t>24-01-2023</t>
  </si>
  <si>
    <t>02-10-2024</t>
  </si>
  <si>
    <t>21-10-2023</t>
  </si>
  <si>
    <t>27-07-2023</t>
  </si>
  <si>
    <t>31-12-2023</t>
  </si>
  <si>
    <t>04-07-2024</t>
  </si>
  <si>
    <t>03-02-2023</t>
  </si>
  <si>
    <t>19-01-2024</t>
  </si>
  <si>
    <t>08-05-2024</t>
  </si>
  <si>
    <t>26-11-2023</t>
  </si>
  <si>
    <t>04-02-2023</t>
  </si>
  <si>
    <t>01-12-2023</t>
  </si>
  <si>
    <t>22-03-2024</t>
  </si>
  <si>
    <t>08-09-2024</t>
  </si>
  <si>
    <t>08-05-2023</t>
  </si>
  <si>
    <t>11-01-2023</t>
  </si>
  <si>
    <t>19-12-2024</t>
  </si>
  <si>
    <t>17-02-2024</t>
  </si>
  <si>
    <t>27-07-2024</t>
  </si>
  <si>
    <t>09-11-2024</t>
  </si>
  <si>
    <t>24-10-2023</t>
  </si>
  <si>
    <t>03-10-2024</t>
  </si>
  <si>
    <t>24-12-2024</t>
  </si>
  <si>
    <t>16-09-2024</t>
  </si>
  <si>
    <t>15-03-2024</t>
  </si>
  <si>
    <t>05-07-2024</t>
  </si>
  <si>
    <t>16-06-2023</t>
  </si>
  <si>
    <t>12-06-2023</t>
  </si>
  <si>
    <t>15-08-2023</t>
  </si>
  <si>
    <t>30-01-2023</t>
  </si>
  <si>
    <t>26-01-2023</t>
  </si>
  <si>
    <t>16-05-2023</t>
  </si>
  <si>
    <t>24-06-2024</t>
  </si>
  <si>
    <t>24-10-2024</t>
  </si>
  <si>
    <t>02-08-2023</t>
  </si>
  <si>
    <t>14-10-2024</t>
  </si>
  <si>
    <t>12-12-2023</t>
  </si>
  <si>
    <t>21-07-2024</t>
  </si>
  <si>
    <t>23-02-2024</t>
  </si>
  <si>
    <t>16-01-2023</t>
  </si>
  <si>
    <t>13-08-2024</t>
  </si>
  <si>
    <t>23-02-2023</t>
  </si>
  <si>
    <t>22-05-2023</t>
  </si>
  <si>
    <t>20-06-2023</t>
  </si>
  <si>
    <t>16-04-2024</t>
  </si>
  <si>
    <t>07-09-2023</t>
  </si>
  <si>
    <t>07-03-2024</t>
  </si>
  <si>
    <t>03-11-2023</t>
  </si>
  <si>
    <t>03-09-2024</t>
  </si>
  <si>
    <t>20-08-2024</t>
  </si>
  <si>
    <t>13-12-2024</t>
  </si>
  <si>
    <t>12-08-2023</t>
  </si>
  <si>
    <t>01-02-2024</t>
  </si>
  <si>
    <t>12-09-2023</t>
  </si>
  <si>
    <t>17-01-2023</t>
  </si>
  <si>
    <t>14-03-2024</t>
  </si>
  <si>
    <t>20-07-2023</t>
  </si>
  <si>
    <t>06-10-2023</t>
  </si>
  <si>
    <t>30-03-2023</t>
  </si>
  <si>
    <t>24-03-2023</t>
  </si>
  <si>
    <t>20-05-2023</t>
  </si>
  <si>
    <t>28-08-2024</t>
  </si>
  <si>
    <t>26-10-2023</t>
  </si>
  <si>
    <t>30-08-2023</t>
  </si>
  <si>
    <t>09-09-2023</t>
  </si>
  <si>
    <t>13-09-2023</t>
  </si>
  <si>
    <t>15-05-2024</t>
  </si>
  <si>
    <t>26-09-2023</t>
  </si>
  <si>
    <t>21-06-2023</t>
  </si>
  <si>
    <t>29-07-2023</t>
  </si>
  <si>
    <t>28-06-2023</t>
  </si>
  <si>
    <t>11-09-2023</t>
  </si>
  <si>
    <t>14-07-2023</t>
  </si>
  <si>
    <t>04-03-2024</t>
  </si>
  <si>
    <t>02-06-2024</t>
  </si>
  <si>
    <t>23-03-2023</t>
  </si>
  <si>
    <t>06-02-2023</t>
  </si>
  <si>
    <t>01-01-2023</t>
  </si>
  <si>
    <t>09-05-2023</t>
  </si>
  <si>
    <t>05-03-2023</t>
  </si>
  <si>
    <t>04-06-2023</t>
  </si>
  <si>
    <t>13-01-2023</t>
  </si>
  <si>
    <t>13-04-2023</t>
  </si>
  <si>
    <t>25-08-2023</t>
  </si>
  <si>
    <t>10-02-2024</t>
  </si>
  <si>
    <t>04-03-2023</t>
  </si>
  <si>
    <t>17-08-2023</t>
  </si>
  <si>
    <t>22-01-2024</t>
  </si>
  <si>
    <t>20-05-2024</t>
  </si>
  <si>
    <t>22-03-2023</t>
  </si>
  <si>
    <t>23-09-2024</t>
  </si>
  <si>
    <t>22-06-2024</t>
  </si>
  <si>
    <t>28-04-2023</t>
  </si>
  <si>
    <t>08-08-2023</t>
  </si>
  <si>
    <t>20-09-2023</t>
  </si>
  <si>
    <t>13-10-2023</t>
  </si>
  <si>
    <t>31-07-2023</t>
  </si>
  <si>
    <t>12-03-2023</t>
  </si>
  <si>
    <t>06-09-2024</t>
  </si>
  <si>
    <t>14-10-2023</t>
  </si>
  <si>
    <t>05-11-2023</t>
  </si>
  <si>
    <t>16-08-2024</t>
  </si>
  <si>
    <t>12-04-2023</t>
  </si>
  <si>
    <t>12-10-2024</t>
  </si>
  <si>
    <t>23-09-2023</t>
  </si>
  <si>
    <t>25-06-2024</t>
  </si>
  <si>
    <t>10-06-2024</t>
  </si>
  <si>
    <t>02-05-2024</t>
  </si>
  <si>
    <t>14-08-2024</t>
  </si>
  <si>
    <t>15-07-2024</t>
  </si>
  <si>
    <t>03-12-2023</t>
  </si>
  <si>
    <t>20-11-2024</t>
  </si>
  <si>
    <t>05-05-2024</t>
  </si>
  <si>
    <t>19-07-2024</t>
  </si>
  <si>
    <t>07-04-2023</t>
  </si>
  <si>
    <t>05-02-2024</t>
  </si>
  <si>
    <t>20-06-2024</t>
  </si>
  <si>
    <t>08-04-2024</t>
  </si>
  <si>
    <t>17-04-2024</t>
  </si>
  <si>
    <t>15-12-2023</t>
  </si>
  <si>
    <t>11-10-2023</t>
  </si>
  <si>
    <t>13-10-2024</t>
  </si>
  <si>
    <t>17-01-2024</t>
  </si>
  <si>
    <t>14-12-2023</t>
  </si>
  <si>
    <t>08-03-2024</t>
  </si>
  <si>
    <t>12-09-2024</t>
  </si>
  <si>
    <t>27-09-2023</t>
  </si>
  <si>
    <t>20-04-2023</t>
  </si>
  <si>
    <t>09-02-2024</t>
  </si>
  <si>
    <t>28-02-2023</t>
  </si>
  <si>
    <t>28-09-2024</t>
  </si>
  <si>
    <t>12-10-2023</t>
  </si>
  <si>
    <t>04-07-2023</t>
  </si>
  <si>
    <t>02-11-2023</t>
  </si>
  <si>
    <t>02-01-2024</t>
  </si>
  <si>
    <t>29-04-2024</t>
  </si>
  <si>
    <t>16-10-2023</t>
  </si>
  <si>
    <t>14-05-2024</t>
  </si>
  <si>
    <t>06-01-2024</t>
  </si>
  <si>
    <t>11-07-2023</t>
  </si>
  <si>
    <t>25-09-2023</t>
  </si>
  <si>
    <t>20-01-2023</t>
  </si>
  <si>
    <t>17-12-2023</t>
  </si>
  <si>
    <t>07-05-2023</t>
  </si>
  <si>
    <t>11-06-2023</t>
  </si>
  <si>
    <t>26-01-2024</t>
  </si>
  <si>
    <t>15-01-2024</t>
  </si>
  <si>
    <t>22-08-2024</t>
  </si>
  <si>
    <t>17-11-2023</t>
  </si>
  <si>
    <t>03-07-2023</t>
  </si>
  <si>
    <t>15-10-2023</t>
  </si>
  <si>
    <t>13-02-2023</t>
  </si>
  <si>
    <t>10-08-2023</t>
  </si>
  <si>
    <t>29-09-2023</t>
  </si>
  <si>
    <t>09-07-2023</t>
  </si>
  <si>
    <t>09-10-2024</t>
  </si>
  <si>
    <t>24-05-2023</t>
  </si>
  <si>
    <t>06-03-2024</t>
  </si>
  <si>
    <t>03-07-2024</t>
  </si>
  <si>
    <t>08-06-2023</t>
  </si>
  <si>
    <t>23-12-2023</t>
  </si>
  <si>
    <t>03-08-2024</t>
  </si>
  <si>
    <t>09-08-2023</t>
  </si>
  <si>
    <t>06-11-2024</t>
  </si>
  <si>
    <t>20-02-2024</t>
  </si>
  <si>
    <t>17-06-2023</t>
  </si>
  <si>
    <t>05-07-2023</t>
  </si>
  <si>
    <t>31-08-2023</t>
  </si>
  <si>
    <t>18-12-2023</t>
  </si>
  <si>
    <t>06-04-2024</t>
  </si>
  <si>
    <t>21-06-2024</t>
  </si>
  <si>
    <t>03-05-2024</t>
  </si>
  <si>
    <t>19-02-2024</t>
  </si>
  <si>
    <t>23-01-2023</t>
  </si>
  <si>
    <t>27-05-2023</t>
  </si>
  <si>
    <t>30-01-2024</t>
  </si>
  <si>
    <t>22-02-2023</t>
  </si>
  <si>
    <t>24-03-2024</t>
  </si>
  <si>
    <t>03-08-2023</t>
  </si>
  <si>
    <t>27-10-2023</t>
  </si>
  <si>
    <t>28-07-2023</t>
  </si>
  <si>
    <t>07-06-2023</t>
  </si>
  <si>
    <t>14-11-2024</t>
  </si>
  <si>
    <t>05-01-2023</t>
  </si>
  <si>
    <t>13-07-2023</t>
  </si>
  <si>
    <t>07-03-2023</t>
  </si>
  <si>
    <t>31-05-2023</t>
  </si>
  <si>
    <t>24-11-2023</t>
  </si>
  <si>
    <t>01-02-2023</t>
  </si>
  <si>
    <t>11-03-2024</t>
  </si>
  <si>
    <t>01-12-2024</t>
  </si>
  <si>
    <t>21-05-2024</t>
  </si>
  <si>
    <t>09-01-2024</t>
  </si>
  <si>
    <t>11-04-2024</t>
  </si>
  <si>
    <t>29-03-2023</t>
  </si>
  <si>
    <t>16-12-2023</t>
  </si>
  <si>
    <t>15-12-2024</t>
  </si>
  <si>
    <t>22-08-2023</t>
  </si>
  <si>
    <t>12-11-2023</t>
  </si>
  <si>
    <t>13-06-2023</t>
  </si>
  <si>
    <t>24-05-2024</t>
  </si>
  <si>
    <t>22-07-2023</t>
  </si>
  <si>
    <t>03-01-2023</t>
  </si>
  <si>
    <t>08-07-2024</t>
  </si>
  <si>
    <t>19-07-2023</t>
  </si>
  <si>
    <t>23-11-2023</t>
  </si>
  <si>
    <t>23-08-2024</t>
  </si>
  <si>
    <t>11-12-2023</t>
  </si>
  <si>
    <t>13-04-2024</t>
  </si>
  <si>
    <t>29-11-2023</t>
  </si>
  <si>
    <t>18-04-2024</t>
  </si>
  <si>
    <t>24-09-2024</t>
  </si>
  <si>
    <t>30-12-2024</t>
  </si>
  <si>
    <t>18-05-2023</t>
  </si>
  <si>
    <t>25-02-2024</t>
  </si>
  <si>
    <t>27-03-2023</t>
  </si>
  <si>
    <t>30-04-2023</t>
  </si>
  <si>
    <t>22-04-2023</t>
  </si>
  <si>
    <t>09-12-2023</t>
  </si>
  <si>
    <t>06-06-2024</t>
  </si>
  <si>
    <t>23-01-2024</t>
  </si>
  <si>
    <t>21-12-2024</t>
  </si>
  <si>
    <t>26-12-2023</t>
  </si>
  <si>
    <t>04-09-2024</t>
  </si>
  <si>
    <t>28-06-2024</t>
  </si>
  <si>
    <t>22-02-2024</t>
  </si>
  <si>
    <t>02-02-2024</t>
  </si>
  <si>
    <t>19-03-2024</t>
  </si>
  <si>
    <t>12-11-2024</t>
  </si>
  <si>
    <t>25-07-2024</t>
  </si>
  <si>
    <t>19-12-2023</t>
  </si>
  <si>
    <t>30-09-2023</t>
  </si>
  <si>
    <t>26-07-2024</t>
  </si>
  <si>
    <t>08-03-2023</t>
  </si>
  <si>
    <t>04-02-2024</t>
  </si>
  <si>
    <t>04-12-2024</t>
  </si>
  <si>
    <t>26-06-2024</t>
  </si>
  <si>
    <t>29-11-2024</t>
  </si>
  <si>
    <t>27-04-2024</t>
  </si>
  <si>
    <t>11-04-2023</t>
  </si>
  <si>
    <t>26-05-2023</t>
  </si>
  <si>
    <t>28-02-2024</t>
  </si>
  <si>
    <t>05-02-2023</t>
  </si>
  <si>
    <t>25-05-2024</t>
  </si>
  <si>
    <t>12-04-2024</t>
  </si>
  <si>
    <t>18-05-2024</t>
  </si>
  <si>
    <t>03-06-2023</t>
  </si>
  <si>
    <t>23-12-2024</t>
  </si>
  <si>
    <t>01-04-2023</t>
  </si>
  <si>
    <t>21-08-2024</t>
  </si>
  <si>
    <t>29-05-2024</t>
  </si>
  <si>
    <t>18-10-2024</t>
  </si>
  <si>
    <t>28-10-2024</t>
  </si>
  <si>
    <t>07-01-2024</t>
  </si>
  <si>
    <t>27-02-2024</t>
  </si>
  <si>
    <t>29-09-2024</t>
  </si>
  <si>
    <t>26-03-2023</t>
  </si>
  <si>
    <t>29-01-2024</t>
  </si>
  <si>
    <t>17-07-2024</t>
  </si>
  <si>
    <t>29-04-2023</t>
  </si>
  <si>
    <t>25-08-2024</t>
  </si>
  <si>
    <t>11-05-2023</t>
  </si>
  <si>
    <t>30-07-2023</t>
  </si>
  <si>
    <t>19-09-2024</t>
  </si>
  <si>
    <t>03-11-2024</t>
  </si>
  <si>
    <t>14-04-2024</t>
  </si>
  <si>
    <t>04-06-2024</t>
  </si>
  <si>
    <t>18-06-2024</t>
  </si>
  <si>
    <t>28-05-2024</t>
  </si>
  <si>
    <t>28-10-2023</t>
  </si>
  <si>
    <t>10-07-2023</t>
  </si>
  <si>
    <t>04-04-2024</t>
  </si>
  <si>
    <t>21-07-2023</t>
  </si>
  <si>
    <t>11-10-2024</t>
  </si>
  <si>
    <t>27-10-2024</t>
  </si>
  <si>
    <t>06-11-2023</t>
  </si>
  <si>
    <t>14-11-2023</t>
  </si>
  <si>
    <t>20-10-2024</t>
  </si>
  <si>
    <t>01-05-2024</t>
  </si>
  <si>
    <t>26-02-2024</t>
  </si>
  <si>
    <t>19-10-2023</t>
  </si>
  <si>
    <t>23-04-2023</t>
  </si>
  <si>
    <t>25-04-2024</t>
  </si>
  <si>
    <t>27-12-2024</t>
  </si>
  <si>
    <t>24-04-2024</t>
  </si>
  <si>
    <t>20-11-2023</t>
  </si>
  <si>
    <t>10-08-2024</t>
  </si>
  <si>
    <t>04-08-2024</t>
  </si>
  <si>
    <t>25-03-2023</t>
  </si>
  <si>
    <t>02-09-2023</t>
  </si>
  <si>
    <t>05-10-2024</t>
  </si>
  <si>
    <t>26-06-2023</t>
  </si>
  <si>
    <t>21-09-2024</t>
  </si>
  <si>
    <t>31-01-2023</t>
  </si>
  <si>
    <t>21-01-2023</t>
  </si>
  <si>
    <t>15-01-2023</t>
  </si>
  <si>
    <t>02-12-2023</t>
  </si>
  <si>
    <t>17-08-2024</t>
  </si>
  <si>
    <t>19-03-2023</t>
  </si>
  <si>
    <t>03-12-2024</t>
  </si>
  <si>
    <t>25-01-2023</t>
  </si>
  <si>
    <t>03-03-2024</t>
  </si>
  <si>
    <t>25-06-2023</t>
  </si>
  <si>
    <t>19-08-2024</t>
  </si>
  <si>
    <t>20-03-2023</t>
  </si>
  <si>
    <t>25-09-2024</t>
  </si>
  <si>
    <t>02-05-2023</t>
  </si>
  <si>
    <t>23-10-2023</t>
  </si>
  <si>
    <t>03-04-2023</t>
  </si>
  <si>
    <t>31-03-2024</t>
  </si>
  <si>
    <t>13-11-2024</t>
  </si>
  <si>
    <t>29-10-2024</t>
  </si>
  <si>
    <t>26-09-2024</t>
  </si>
  <si>
    <t>26-05-2024</t>
  </si>
  <si>
    <t>09-06-2023</t>
  </si>
  <si>
    <t>24-08-2024</t>
  </si>
  <si>
    <t>16-11-2024</t>
  </si>
  <si>
    <t>15-06-2023</t>
  </si>
  <si>
    <t>25-02-2023</t>
  </si>
  <si>
    <t>15-02-2023</t>
  </si>
  <si>
    <t>21-02-2024</t>
  </si>
  <si>
    <t>10-02-2023</t>
  </si>
  <si>
    <t>16-05-2024</t>
  </si>
  <si>
    <t>02-11-2024</t>
  </si>
  <si>
    <t>14-06-2023</t>
  </si>
  <si>
    <t>31-01-2024</t>
  </si>
  <si>
    <t>28-07-2024</t>
  </si>
  <si>
    <t>Row Labels</t>
  </si>
  <si>
    <t>Grand Total</t>
  </si>
  <si>
    <t>Sum of Total Sales</t>
  </si>
  <si>
    <t>Column Labels</t>
  </si>
  <si>
    <t xml:space="preserve">Sales by region and category </t>
  </si>
  <si>
    <t xml:space="preserve">Monthly sales Trand </t>
  </si>
  <si>
    <t>Sum of Customer ID</t>
  </si>
  <si>
    <t>Payment_Mode</t>
  </si>
  <si>
    <t>Rep_wise_sales</t>
  </si>
  <si>
    <t>Region_Wise_Salary</t>
  </si>
  <si>
    <t>Order_Status</t>
  </si>
  <si>
    <t>Months</t>
  </si>
  <si>
    <t>Year</t>
  </si>
  <si>
    <t>Months No.</t>
  </si>
  <si>
    <t>Total Profite</t>
  </si>
  <si>
    <t>Sum of Quantity</t>
  </si>
  <si>
    <t>Sum of Profit</t>
  </si>
  <si>
    <t>Count of Order Status</t>
  </si>
  <si>
    <t>Average of Total Sales</t>
  </si>
  <si>
    <t>Count of Months</t>
  </si>
  <si>
    <t>Month/Year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</si>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</sst>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1" fillId="0" borderId="5" xfId="0" applyFont="1" applyBorder="1" applyAlignment="1">
      <alignment horizontal="center"/>
    </xf>
    <xf numFmtId="0" fontId="1" fillId="0" borderId="6" xfId="0" applyFont="1" applyBorder="1" applyAlignment="1">
      <alignment horizontal="center"/>
    </xf>
    <xf numFmtId="0" fontId="1"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NumberFormat="1" applyBorder="1"/>
  </cellXfs>
  <cellStyles count="1">
    <cellStyle name="Normal" xfId="0" builtinId="0"/>
  </cellStyles>
  <dxfs count="216">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s>
  <tableStyles count="1" defaultTableStyle="TableStyleMedium9" defaultPivotStyle="PivotStyleLight16">
    <tableStyle name="Invisible" pivot="0" table="0" count="0" xr9:uid="{00000000-0011-0000-FFFF-FFFF00000000}"/>
  </tableStyles>
  <colors>
    <mruColors>
      <color rgb="FF6E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47425613364157582"/>
                  <c:h val="0.17951123053305473"/>
                </c:manualLayout>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C7-4B4F-AF19-682DA47FAF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C7-4B4F-AF19-682DA47FAF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C7-4B4F-AF19-682DA47FAF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C7-4B4F-AF19-682DA47FAF39}"/>
              </c:ext>
            </c:extLst>
          </c:dPt>
          <c:dLbls>
            <c:dLbl>
              <c:idx val="0"/>
              <c:dLblPos val="outEnd"/>
              <c:showLegendKey val="0"/>
              <c:showVal val="1"/>
              <c:showCatName val="1"/>
              <c:showSerName val="0"/>
              <c:showPercent val="0"/>
              <c:showBubbleSize val="0"/>
              <c:extLst>
                <c:ext xmlns:c15="http://schemas.microsoft.com/office/drawing/2012/chart" uri="{CE6537A1-D6FC-4f65-9D91-7224C49458BB}">
                  <c15:layout>
                    <c:manualLayout>
                      <c:w val="0.47425613364157582"/>
                      <c:h val="0.17951123053305473"/>
                    </c:manualLayout>
                  </c15:layout>
                </c:ext>
                <c:ext xmlns:c16="http://schemas.microsoft.com/office/drawing/2014/chart" uri="{C3380CC4-5D6E-409C-BE32-E72D297353CC}">
                  <c16:uniqueId val="{00000001-10C7-4B4F-AF19-682DA47FAF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Pivot_Table!$H$3:$H$7</c:f>
              <c:strCache>
                <c:ptCount val="4"/>
                <c:pt idx="0">
                  <c:v>East</c:v>
                </c:pt>
                <c:pt idx="1">
                  <c:v>North</c:v>
                </c:pt>
                <c:pt idx="2">
                  <c:v>South</c:v>
                </c:pt>
                <c:pt idx="3">
                  <c:v>West</c:v>
                </c:pt>
              </c:strCache>
            </c:strRef>
          </c:cat>
          <c:val>
            <c:numRef>
              <c:f>Pivot_Table!$I$3:$I$7</c:f>
              <c:numCache>
                <c:formatCode>General</c:formatCode>
                <c:ptCount val="4"/>
                <c:pt idx="0">
                  <c:v>46422302.25000003</c:v>
                </c:pt>
                <c:pt idx="1">
                  <c:v>56523250.749999985</c:v>
                </c:pt>
                <c:pt idx="2">
                  <c:v>48332155.300000042</c:v>
                </c:pt>
                <c:pt idx="3">
                  <c:v>53195966.600000009</c:v>
                </c:pt>
              </c:numCache>
            </c:numRef>
          </c:val>
          <c:extLst>
            <c:ext xmlns:c16="http://schemas.microsoft.com/office/drawing/2014/chart" uri="{C3380CC4-5D6E-409C-BE32-E72D297353CC}">
              <c16:uniqueId val="{00000008-10C7-4B4F-AF19-682DA47FAF3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[Sales_Dashboard_Dataset_1000_Rows.xlsx]Pivot_Table!PivotTable1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6919681579771"/>
          <c:y val="5.0109792372309996E-2"/>
          <c:w val="0.71793574694274853"/>
          <c:h val="0.74907777981942858"/>
        </c:manualLayout>
      </c:layout>
      <c:barChart>
        <c:barDir val="bar"/>
        <c:grouping val="clustered"/>
        <c:varyColors val="0"/>
        <c:ser>
          <c:idx val="0"/>
          <c:order val="0"/>
          <c:tx>
            <c:strRef>
              <c:f>Pivot_Table!$B$2:$B$3</c:f>
              <c:strCache>
                <c:ptCount val="1"/>
                <c:pt idx="0">
                  <c:v>East</c:v>
                </c:pt>
              </c:strCache>
            </c:strRef>
          </c:tx>
          <c:spPr>
            <a:solidFill>
              <a:schemeClr val="accent1"/>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Pivot_Table!$B$4:$B$9</c:f>
              <c:numCache>
                <c:formatCode>General</c:formatCode>
                <c:ptCount val="5"/>
                <c:pt idx="0">
                  <c:v>10288711.199999999</c:v>
                </c:pt>
                <c:pt idx="1">
                  <c:v>8772340.5499999989</c:v>
                </c:pt>
                <c:pt idx="2">
                  <c:v>10225133.800000001</c:v>
                </c:pt>
                <c:pt idx="3">
                  <c:v>8618001</c:v>
                </c:pt>
                <c:pt idx="4">
                  <c:v>8518115.6999999974</c:v>
                </c:pt>
              </c:numCache>
            </c:numRef>
          </c:val>
          <c:extLst>
            <c:ext xmlns:c16="http://schemas.microsoft.com/office/drawing/2014/chart" uri="{C3380CC4-5D6E-409C-BE32-E72D297353CC}">
              <c16:uniqueId val="{00000000-402B-4F1E-B4F8-753E754201E5}"/>
            </c:ext>
          </c:extLst>
        </c:ser>
        <c:ser>
          <c:idx val="1"/>
          <c:order val="1"/>
          <c:tx>
            <c:strRef>
              <c:f>Pivot_Table!$C$2:$C$3</c:f>
              <c:strCache>
                <c:ptCount val="1"/>
                <c:pt idx="0">
                  <c:v>North</c:v>
                </c:pt>
              </c:strCache>
            </c:strRef>
          </c:tx>
          <c:spPr>
            <a:solidFill>
              <a:schemeClr val="accent2"/>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Pivot_Table!$C$4:$C$9</c:f>
              <c:numCache>
                <c:formatCode>General</c:formatCode>
                <c:ptCount val="5"/>
                <c:pt idx="0">
                  <c:v>13316545.399999999</c:v>
                </c:pt>
                <c:pt idx="1">
                  <c:v>12752180.600000001</c:v>
                </c:pt>
                <c:pt idx="2">
                  <c:v>10204132.500000002</c:v>
                </c:pt>
                <c:pt idx="3">
                  <c:v>10795619.599999998</c:v>
                </c:pt>
                <c:pt idx="4">
                  <c:v>9454772.6499999985</c:v>
                </c:pt>
              </c:numCache>
            </c:numRef>
          </c:val>
          <c:extLst>
            <c:ext xmlns:c16="http://schemas.microsoft.com/office/drawing/2014/chart" uri="{C3380CC4-5D6E-409C-BE32-E72D297353CC}">
              <c16:uniqueId val="{00000001-186E-459B-A1A9-303B6C2D483B}"/>
            </c:ext>
          </c:extLst>
        </c:ser>
        <c:ser>
          <c:idx val="2"/>
          <c:order val="2"/>
          <c:tx>
            <c:strRef>
              <c:f>Pivot_Table!$D$2:$D$3</c:f>
              <c:strCache>
                <c:ptCount val="1"/>
                <c:pt idx="0">
                  <c:v>South</c:v>
                </c:pt>
              </c:strCache>
            </c:strRef>
          </c:tx>
          <c:spPr>
            <a:solidFill>
              <a:schemeClr val="accent3"/>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Pivot_Table!$D$4:$D$9</c:f>
              <c:numCache>
                <c:formatCode>General</c:formatCode>
                <c:ptCount val="5"/>
                <c:pt idx="0">
                  <c:v>11840013.049999999</c:v>
                </c:pt>
                <c:pt idx="1">
                  <c:v>7530521.8999999994</c:v>
                </c:pt>
                <c:pt idx="2">
                  <c:v>9410568.4499999955</c:v>
                </c:pt>
                <c:pt idx="3">
                  <c:v>12031295.999999996</c:v>
                </c:pt>
                <c:pt idx="4">
                  <c:v>7519755.8999999994</c:v>
                </c:pt>
              </c:numCache>
            </c:numRef>
          </c:val>
          <c:extLst>
            <c:ext xmlns:c16="http://schemas.microsoft.com/office/drawing/2014/chart" uri="{C3380CC4-5D6E-409C-BE32-E72D297353CC}">
              <c16:uniqueId val="{00000002-186E-459B-A1A9-303B6C2D483B}"/>
            </c:ext>
          </c:extLst>
        </c:ser>
        <c:ser>
          <c:idx val="3"/>
          <c:order val="3"/>
          <c:tx>
            <c:strRef>
              <c:f>Pivot_Table!$E$2:$E$3</c:f>
              <c:strCache>
                <c:ptCount val="1"/>
                <c:pt idx="0">
                  <c:v>West</c:v>
                </c:pt>
              </c:strCache>
            </c:strRef>
          </c:tx>
          <c:spPr>
            <a:solidFill>
              <a:schemeClr val="accent4"/>
            </a:solidFill>
            <a:ln>
              <a:noFill/>
            </a:ln>
            <a:effectLst/>
          </c:spPr>
          <c:invertIfNegative val="0"/>
          <c:cat>
            <c:strRef>
              <c:f>Pivot_Table!$A$4:$A$9</c:f>
              <c:strCache>
                <c:ptCount val="5"/>
                <c:pt idx="0">
                  <c:v>Accessories</c:v>
                </c:pt>
                <c:pt idx="1">
                  <c:v>Clothing</c:v>
                </c:pt>
                <c:pt idx="2">
                  <c:v>Electronics</c:v>
                </c:pt>
                <c:pt idx="3">
                  <c:v>Furniture</c:v>
                </c:pt>
                <c:pt idx="4">
                  <c:v>Home Appliances</c:v>
                </c:pt>
              </c:strCache>
            </c:strRef>
          </c:cat>
          <c:val>
            <c:numRef>
              <c:f>Pivot_Table!$E$4:$E$9</c:f>
              <c:numCache>
                <c:formatCode>General</c:formatCode>
                <c:ptCount val="5"/>
                <c:pt idx="0">
                  <c:v>11812503</c:v>
                </c:pt>
                <c:pt idx="1">
                  <c:v>11308432.099999998</c:v>
                </c:pt>
                <c:pt idx="2">
                  <c:v>11335436.800000001</c:v>
                </c:pt>
                <c:pt idx="3">
                  <c:v>8811514.3999999985</c:v>
                </c:pt>
                <c:pt idx="4">
                  <c:v>9928080.3000000026</c:v>
                </c:pt>
              </c:numCache>
            </c:numRef>
          </c:val>
          <c:extLst>
            <c:ext xmlns:c16="http://schemas.microsoft.com/office/drawing/2014/chart" uri="{C3380CC4-5D6E-409C-BE32-E72D297353CC}">
              <c16:uniqueId val="{00000003-186E-459B-A1A9-303B6C2D483B}"/>
            </c:ext>
          </c:extLst>
        </c:ser>
        <c:dLbls>
          <c:showLegendKey val="0"/>
          <c:showVal val="0"/>
          <c:showCatName val="0"/>
          <c:showSerName val="0"/>
          <c:showPercent val="0"/>
          <c:showBubbleSize val="0"/>
        </c:dLbls>
        <c:gapWidth val="182"/>
        <c:axId val="262554056"/>
        <c:axId val="396993096"/>
      </c:barChart>
      <c:catAx>
        <c:axId val="262554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96993096"/>
        <c:crosses val="autoZero"/>
        <c:auto val="1"/>
        <c:lblAlgn val="ctr"/>
        <c:lblOffset val="100"/>
        <c:noMultiLvlLbl val="0"/>
      </c:catAx>
      <c:valAx>
        <c:axId val="396993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62554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[Sales_Dashboard_Dataset_1000_Rows.xlsx]Pivot_Table!PivotTable13</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320738489399305"/>
              <c:y val="-7.3749510272280869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419518578258175"/>
              <c:y val="0.14258238652640967"/>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566917707268163E-2"/>
              <c:y val="0.10324950794946165"/>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44574691616023"/>
                  <c:h val="5.3935475179128063E-2"/>
                </c:manualLayout>
              </c15:layout>
            </c:ext>
          </c:extLst>
        </c:dLbl>
      </c:pivotFmt>
      <c:pivotFmt>
        <c:idx val="11"/>
        <c:spPr>
          <a:solidFill>
            <a:schemeClr val="accent1"/>
          </a:solidFill>
          <a:ln w="19050">
            <a:solidFill>
              <a:schemeClr val="lt1"/>
            </a:solidFill>
          </a:ln>
          <a:effectLst/>
        </c:spPr>
        <c:dLbl>
          <c:idx val="0"/>
          <c:layout>
            <c:manualLayout>
              <c:x val="-0.10364028978123065"/>
              <c:y val="0.13274911849010548"/>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2748358197220331"/>
              <c:y val="-0.16815090451738066"/>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2136231807953585"/>
                  <c:h val="0.17677776969092568"/>
                </c:manualLayout>
              </c15:layout>
            </c:ext>
          </c:extLst>
        </c:dLbl>
      </c:pivotFmt>
    </c:pivotFmts>
    <c:plotArea>
      <c:layout/>
      <c:doughnutChart>
        <c:varyColors val="1"/>
        <c:ser>
          <c:idx val="0"/>
          <c:order val="0"/>
          <c:tx>
            <c:strRef>
              <c:f>Pivot_Table!$I$24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D-430B-8375-FB59A1EF5D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D-430B-8375-FB59A1EF5D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D-430B-8375-FB59A1EF5D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6D-430B-8375-FB59A1EF5D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6D-430B-8375-FB59A1EF5D8B}"/>
              </c:ext>
            </c:extLst>
          </c:dPt>
          <c:dLbls>
            <c:dLbl>
              <c:idx val="0"/>
              <c:layout>
                <c:manualLayout>
                  <c:x val="0.15320738489399305"/>
                  <c:y val="-7.37495102722808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6D-430B-8375-FB59A1EF5D8B}"/>
                </c:ext>
              </c:extLst>
            </c:dLbl>
            <c:dLbl>
              <c:idx val="1"/>
              <c:layout>
                <c:manualLayout>
                  <c:x val="0.14419518578258175"/>
                  <c:y val="0.142582386526409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6D-430B-8375-FB59A1EF5D8B}"/>
                </c:ext>
              </c:extLst>
            </c:dLbl>
            <c:dLbl>
              <c:idx val="2"/>
              <c:layout>
                <c:manualLayout>
                  <c:x val="-4.9566917707268163E-2"/>
                  <c:y val="0.10324950794946165"/>
                </c:manualLayout>
              </c:layout>
              <c:showLegendKey val="0"/>
              <c:showVal val="0"/>
              <c:showCatName val="1"/>
              <c:showSerName val="0"/>
              <c:showPercent val="1"/>
              <c:showBubbleSize val="0"/>
              <c:extLst>
                <c:ext xmlns:c15="http://schemas.microsoft.com/office/drawing/2012/chart" uri="{CE6537A1-D6FC-4f65-9D91-7224C49458BB}">
                  <c15:layout>
                    <c:manualLayout>
                      <c:w val="0.25344574691616023"/>
                      <c:h val="5.3935475179128063E-2"/>
                    </c:manualLayout>
                  </c15:layout>
                </c:ext>
                <c:ext xmlns:c16="http://schemas.microsoft.com/office/drawing/2014/chart" uri="{C3380CC4-5D6E-409C-BE32-E72D297353CC}">
                  <c16:uniqueId val="{00000005-F16D-430B-8375-FB59A1EF5D8B}"/>
                </c:ext>
              </c:extLst>
            </c:dLbl>
            <c:dLbl>
              <c:idx val="3"/>
              <c:layout>
                <c:manualLayout>
                  <c:x val="-0.10364028978123065"/>
                  <c:y val="0.132749118490105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6D-430B-8375-FB59A1EF5D8B}"/>
                </c:ext>
              </c:extLst>
            </c:dLbl>
            <c:dLbl>
              <c:idx val="4"/>
              <c:layout>
                <c:manualLayout>
                  <c:x val="-0.22748358197220331"/>
                  <c:y val="-0.16815090451738066"/>
                </c:manualLayout>
              </c:layout>
              <c:showLegendKey val="0"/>
              <c:showVal val="0"/>
              <c:showCatName val="1"/>
              <c:showSerName val="0"/>
              <c:showPercent val="1"/>
              <c:showBubbleSize val="0"/>
              <c:extLst>
                <c:ext xmlns:c15="http://schemas.microsoft.com/office/drawing/2012/chart" uri="{CE6537A1-D6FC-4f65-9D91-7224C49458BB}">
                  <c15:layout>
                    <c:manualLayout>
                      <c:w val="0.22136231807953585"/>
                      <c:h val="0.17677776969092568"/>
                    </c:manualLayout>
                  </c15:layout>
                </c:ext>
                <c:ext xmlns:c16="http://schemas.microsoft.com/office/drawing/2014/chart" uri="{C3380CC4-5D6E-409C-BE32-E72D297353CC}">
                  <c16:uniqueId val="{00000009-F16D-430B-8375-FB59A1EF5D8B}"/>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Pivot_Table!$H$25:$H$30</c:f>
              <c:strCache>
                <c:ptCount val="5"/>
                <c:pt idx="0">
                  <c:v>Accessories</c:v>
                </c:pt>
                <c:pt idx="1">
                  <c:v>Clothing</c:v>
                </c:pt>
                <c:pt idx="2">
                  <c:v>Electronics</c:v>
                </c:pt>
                <c:pt idx="3">
                  <c:v>Furniture</c:v>
                </c:pt>
                <c:pt idx="4">
                  <c:v>Home Appliances</c:v>
                </c:pt>
              </c:strCache>
            </c:strRef>
          </c:cat>
          <c:val>
            <c:numRef>
              <c:f>Pivot_Table!$I$25:$I$30</c:f>
              <c:numCache>
                <c:formatCode>General</c:formatCode>
                <c:ptCount val="5"/>
                <c:pt idx="0">
                  <c:v>47257772.650000006</c:v>
                </c:pt>
                <c:pt idx="1">
                  <c:v>40363475.150000006</c:v>
                </c:pt>
                <c:pt idx="2">
                  <c:v>41175271.550000012</c:v>
                </c:pt>
                <c:pt idx="3">
                  <c:v>40256431.000000015</c:v>
                </c:pt>
                <c:pt idx="4">
                  <c:v>35420724.550000004</c:v>
                </c:pt>
              </c:numCache>
            </c:numRef>
          </c:val>
          <c:extLst>
            <c:ext xmlns:c16="http://schemas.microsoft.com/office/drawing/2014/chart" uri="{C3380CC4-5D6E-409C-BE32-E72D297353CC}">
              <c16:uniqueId val="{0000000A-F16D-430B-8375-FB59A1EF5D8B}"/>
            </c:ext>
          </c:extLst>
        </c:ser>
        <c:dLbls>
          <c:showLegendKey val="0"/>
          <c:showVal val="0"/>
          <c:showCatName val="0"/>
          <c:showSerName val="0"/>
          <c:showPercent val="0"/>
          <c:showBubbleSize val="0"/>
          <c:showLeaderLines val="1"/>
        </c:dLbls>
        <c:firstSliceAng val="0"/>
        <c:holeSize val="87"/>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[Sales_Dashboard_Dataset_1000_Rows.xlsx]Pivot_Table!PivotTable15</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Person</a:t>
            </a:r>
            <a:r>
              <a:rPr lang="en-US" baseline="0"/>
              <a:t> wise sales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Pivot_Table!$A$23:$A$29</c:f>
              <c:strCache>
                <c:ptCount val="6"/>
                <c:pt idx="0">
                  <c:v>Amit</c:v>
                </c:pt>
                <c:pt idx="1">
                  <c:v>Jay</c:v>
                </c:pt>
                <c:pt idx="2">
                  <c:v>Kavya</c:v>
                </c:pt>
                <c:pt idx="3">
                  <c:v>Mihir</c:v>
                </c:pt>
                <c:pt idx="4">
                  <c:v>Nitin</c:v>
                </c:pt>
                <c:pt idx="5">
                  <c:v>Sonal</c:v>
                </c:pt>
              </c:strCache>
            </c:strRef>
          </c:cat>
          <c:val>
            <c:numRef>
              <c:f>Pivot_Table!$B$23:$B$29</c:f>
              <c:numCache>
                <c:formatCode>General</c:formatCode>
                <c:ptCount val="6"/>
                <c:pt idx="0">
                  <c:v>4</c:v>
                </c:pt>
                <c:pt idx="1">
                  <c:v>6</c:v>
                </c:pt>
                <c:pt idx="2">
                  <c:v>5</c:v>
                </c:pt>
                <c:pt idx="3">
                  <c:v>2</c:v>
                </c:pt>
                <c:pt idx="4">
                  <c:v>1</c:v>
                </c:pt>
                <c:pt idx="5">
                  <c:v>3</c:v>
                </c:pt>
              </c:numCache>
            </c:numRef>
          </c:val>
          <c:extLst>
            <c:ext xmlns:c16="http://schemas.microsoft.com/office/drawing/2014/chart" uri="{C3380CC4-5D6E-409C-BE32-E72D297353CC}">
              <c16:uniqueId val="{00000000-D877-416C-AFD1-D729DB3EA16B}"/>
            </c:ext>
          </c:extLst>
        </c:ser>
        <c:dLbls>
          <c:showLegendKey val="0"/>
          <c:showVal val="0"/>
          <c:showCatName val="0"/>
          <c:showSerName val="0"/>
          <c:showPercent val="0"/>
          <c:showBubbleSize val="0"/>
        </c:dLbls>
        <c:gapWidth val="219"/>
        <c:overlap val="-27"/>
        <c:axId val="433200160"/>
        <c:axId val="433202512"/>
      </c:barChart>
      <c:catAx>
        <c:axId val="4332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33202512"/>
        <c:crosses val="autoZero"/>
        <c:auto val="1"/>
        <c:lblAlgn val="ctr"/>
        <c:lblOffset val="100"/>
        <c:noMultiLvlLbl val="0"/>
      </c:catAx>
      <c:valAx>
        <c:axId val="43320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3320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[Sales_Dashboard_Dataset_1000_Rows.xlsx]Pivot_Table!PivotTable17</c:name>
    <c:fmtId val="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Product wise Quantity</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Pivot_Table!$L$24</c:f>
              <c:strCache>
                <c:ptCount val="1"/>
                <c:pt idx="0">
                  <c:v>Total</c:v>
                </c:pt>
              </c:strCache>
            </c:strRef>
          </c:tx>
          <c:spPr>
            <a:solidFill>
              <a:schemeClr val="accent1"/>
            </a:solidFill>
            <a:ln>
              <a:noFill/>
            </a:ln>
            <a:effectLst/>
          </c:spPr>
          <c:invertIfNegative val="0"/>
          <c:cat>
            <c:strRef>
              <c:f>Pivot_Table!$K$25:$K$41</c:f>
              <c:strCache>
                <c:ptCount val="16"/>
                <c:pt idx="0">
                  <c:v>Chair</c:v>
                </c:pt>
                <c:pt idx="1">
                  <c:v>Charger</c:v>
                </c:pt>
                <c:pt idx="2">
                  <c:v>Desk</c:v>
                </c:pt>
                <c:pt idx="3">
                  <c:v>Fridge</c:v>
                </c:pt>
                <c:pt idx="4">
                  <c:v>Headphones</c:v>
                </c:pt>
                <c:pt idx="5">
                  <c:v>Jacket</c:v>
                </c:pt>
                <c:pt idx="6">
                  <c:v>Jeans</c:v>
                </c:pt>
                <c:pt idx="7">
                  <c:v>Laptop</c:v>
                </c:pt>
                <c:pt idx="8">
                  <c:v>Microwave</c:v>
                </c:pt>
                <c:pt idx="9">
                  <c:v>Mixer</c:v>
                </c:pt>
                <c:pt idx="10">
                  <c:v>Mobile</c:v>
                </c:pt>
                <c:pt idx="11">
                  <c:v>Monitor</c:v>
                </c:pt>
                <c:pt idx="12">
                  <c:v>Mouse</c:v>
                </c:pt>
                <c:pt idx="13">
                  <c:v>Shirt</c:v>
                </c:pt>
                <c:pt idx="14">
                  <c:v>Sofa</c:v>
                </c:pt>
                <c:pt idx="15">
                  <c:v>Tablet</c:v>
                </c:pt>
              </c:strCache>
            </c:strRef>
          </c:cat>
          <c:val>
            <c:numRef>
              <c:f>Pivot_Table!$L$25:$L$41</c:f>
              <c:numCache>
                <c:formatCode>General</c:formatCode>
                <c:ptCount val="16"/>
                <c:pt idx="0">
                  <c:v>403</c:v>
                </c:pt>
                <c:pt idx="1">
                  <c:v>223</c:v>
                </c:pt>
                <c:pt idx="2">
                  <c:v>384</c:v>
                </c:pt>
                <c:pt idx="3">
                  <c:v>380</c:v>
                </c:pt>
                <c:pt idx="4">
                  <c:v>375</c:v>
                </c:pt>
                <c:pt idx="5">
                  <c:v>342</c:v>
                </c:pt>
                <c:pt idx="6">
                  <c:v>392</c:v>
                </c:pt>
                <c:pt idx="7">
                  <c:v>313</c:v>
                </c:pt>
                <c:pt idx="8">
                  <c:v>316</c:v>
                </c:pt>
                <c:pt idx="9">
                  <c:v>337</c:v>
                </c:pt>
                <c:pt idx="10">
                  <c:v>385</c:v>
                </c:pt>
                <c:pt idx="11">
                  <c:v>388</c:v>
                </c:pt>
                <c:pt idx="12">
                  <c:v>268</c:v>
                </c:pt>
                <c:pt idx="13">
                  <c:v>358</c:v>
                </c:pt>
                <c:pt idx="14">
                  <c:v>306</c:v>
                </c:pt>
                <c:pt idx="15">
                  <c:v>395</c:v>
                </c:pt>
              </c:numCache>
            </c:numRef>
          </c:val>
          <c:extLst>
            <c:ext xmlns:c16="http://schemas.microsoft.com/office/drawing/2014/chart" uri="{C3380CC4-5D6E-409C-BE32-E72D297353CC}">
              <c16:uniqueId val="{00000000-2A19-4B22-9645-8D624BADACFF}"/>
            </c:ext>
          </c:extLst>
        </c:ser>
        <c:dLbls>
          <c:showLegendKey val="0"/>
          <c:showVal val="0"/>
          <c:showCatName val="0"/>
          <c:showSerName val="0"/>
          <c:showPercent val="0"/>
          <c:showBubbleSize val="0"/>
        </c:dLbls>
        <c:gapWidth val="219"/>
        <c:overlap val="-27"/>
        <c:axId val="403871416"/>
        <c:axId val="403874944"/>
      </c:barChart>
      <c:catAx>
        <c:axId val="403871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03874944"/>
        <c:crosses val="autoZero"/>
        <c:auto val="1"/>
        <c:lblAlgn val="ctr"/>
        <c:lblOffset val="100"/>
        <c:noMultiLvlLbl val="0"/>
      </c:catAx>
      <c:valAx>
        <c:axId val="40387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03871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56030</xdr:colOff>
      <xdr:row>0</xdr:row>
      <xdr:rowOff>0</xdr:rowOff>
    </xdr:from>
    <xdr:to>
      <xdr:col>15</xdr:col>
      <xdr:colOff>34782</xdr:colOff>
      <xdr:row>31</xdr:row>
      <xdr:rowOff>200025</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56030" y="0"/>
          <a:ext cx="12753458" cy="784243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14</xdr:col>
      <xdr:colOff>819150</xdr:colOff>
      <xdr:row>2</xdr:row>
      <xdr:rowOff>66675</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0" y="0"/>
          <a:ext cx="12630150" cy="556532"/>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2</xdr:row>
      <xdr:rowOff>114300</xdr:rowOff>
    </xdr:from>
    <xdr:to>
      <xdr:col>2</xdr:col>
      <xdr:colOff>209550</xdr:colOff>
      <xdr:row>31</xdr:row>
      <xdr:rowOff>133350</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114300" y="607359"/>
          <a:ext cx="1798544" cy="7168403"/>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4</xdr:row>
      <xdr:rowOff>161924</xdr:rowOff>
    </xdr:from>
    <xdr:to>
      <xdr:col>2</xdr:col>
      <xdr:colOff>209550</xdr:colOff>
      <xdr:row>4</xdr:row>
      <xdr:rowOff>161924</xdr:rowOff>
    </xdr:to>
    <xdr:cxnSp macro="">
      <xdr:nvCxnSpPr>
        <xdr:cNvPr id="17" name="Straight Connector 16">
          <a:extLst>
            <a:ext uri="{FF2B5EF4-FFF2-40B4-BE49-F238E27FC236}">
              <a16:creationId xmlns:a16="http://schemas.microsoft.com/office/drawing/2014/main" id="{00000000-0008-0000-0200-000011000000}"/>
            </a:ext>
          </a:extLst>
        </xdr:cNvPr>
        <xdr:cNvCxnSpPr/>
      </xdr:nvCxnSpPr>
      <xdr:spPr>
        <a:xfrm>
          <a:off x="114299" y="1152524"/>
          <a:ext cx="179070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190160</xdr:colOff>
      <xdr:row>2</xdr:row>
      <xdr:rowOff>136023</xdr:rowOff>
    </xdr:from>
    <xdr:ext cx="1591015" cy="483102"/>
    <xdr:sp macro="" textlink="">
      <xdr:nvSpPr>
        <xdr:cNvPr id="20" name="Rectangle 19">
          <a:extLst>
            <a:ext uri="{FF2B5EF4-FFF2-40B4-BE49-F238E27FC236}">
              <a16:creationId xmlns:a16="http://schemas.microsoft.com/office/drawing/2014/main" id="{00000000-0008-0000-0200-000014000000}"/>
            </a:ext>
          </a:extLst>
        </xdr:cNvPr>
        <xdr:cNvSpPr/>
      </xdr:nvSpPr>
      <xdr:spPr>
        <a:xfrm>
          <a:off x="190160" y="631323"/>
          <a:ext cx="1591015" cy="483102"/>
        </a:xfrm>
        <a:prstGeom prst="rect">
          <a:avLst/>
        </a:prstGeom>
        <a:noFill/>
      </xdr:spPr>
      <xdr:txBody>
        <a:bodyPr wrap="square" lIns="91440" tIns="45720" rIns="91440" bIns="45720">
          <a:noAutofit/>
        </a:bodyPr>
        <a:lstStyle/>
        <a:p>
          <a:pPr algn="ctr"/>
          <a:r>
            <a:rPr lang="en-US" sz="2800" b="1" cap="none" spc="0">
              <a:ln w="0"/>
              <a:solidFill>
                <a:schemeClr val="bg1">
                  <a:lumMod val="95000"/>
                </a:schemeClr>
              </a:solidFill>
              <a:effectLst>
                <a:outerShdw blurRad="38100" dist="19050" dir="2700000" algn="tl" rotWithShape="0">
                  <a:schemeClr val="dk1">
                    <a:alpha val="40000"/>
                  </a:schemeClr>
                </a:outerShdw>
              </a:effectLst>
            </a:rPr>
            <a:t>FILTER</a:t>
          </a:r>
          <a:endParaRPr lang="en-US" sz="5400" b="1"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3</xdr:col>
      <xdr:colOff>720585</xdr:colOff>
      <xdr:row>0</xdr:row>
      <xdr:rowOff>0</xdr:rowOff>
    </xdr:from>
    <xdr:ext cx="5472781" cy="530658"/>
    <xdr:sp macro="" textlink="">
      <xdr:nvSpPr>
        <xdr:cNvPr id="21" name="Rectangle 20">
          <a:extLst>
            <a:ext uri="{FF2B5EF4-FFF2-40B4-BE49-F238E27FC236}">
              <a16:creationId xmlns:a16="http://schemas.microsoft.com/office/drawing/2014/main" id="{00000000-0008-0000-0200-000015000000}"/>
            </a:ext>
          </a:extLst>
        </xdr:cNvPr>
        <xdr:cNvSpPr/>
      </xdr:nvSpPr>
      <xdr:spPr>
        <a:xfrm>
          <a:off x="3263760" y="0"/>
          <a:ext cx="5472781" cy="530658"/>
        </a:xfrm>
        <a:prstGeom prst="rect">
          <a:avLst/>
        </a:prstGeom>
        <a:noFill/>
      </xdr:spPr>
      <xdr:txBody>
        <a:bodyPr wrap="none" lIns="91440" tIns="45720" rIns="91440" bIns="45720" anchor="ctr">
          <a:spAutoFit/>
        </a:bodyPr>
        <a:lstStyle/>
        <a:p>
          <a:pPr algn="ctr"/>
          <a:r>
            <a:rPr lang="en-US" sz="2800" b="1" u="none" cap="none" spc="0">
              <a:ln w="0"/>
              <a:solidFill>
                <a:schemeClr val="bg1">
                  <a:lumMod val="95000"/>
                </a:schemeClr>
              </a:solidFill>
              <a:effectLst>
                <a:outerShdw blurRad="38100" dist="19050" dir="2700000" algn="tl" rotWithShape="0">
                  <a:schemeClr val="dk1">
                    <a:alpha val="40000"/>
                  </a:schemeClr>
                </a:outerShdw>
              </a:effectLst>
            </a:rPr>
            <a:t>SALES</a:t>
          </a:r>
          <a:r>
            <a:rPr lang="en-US" sz="2800" b="1" u="none" cap="none" spc="0" baseline="0">
              <a:ln w="0"/>
              <a:solidFill>
                <a:schemeClr val="bg1">
                  <a:lumMod val="95000"/>
                </a:schemeClr>
              </a:solidFill>
              <a:effectLst>
                <a:outerShdw blurRad="38100" dist="19050" dir="2700000" algn="tl" rotWithShape="0">
                  <a:schemeClr val="dk1">
                    <a:alpha val="40000"/>
                  </a:schemeClr>
                </a:outerShdw>
              </a:effectLst>
            </a:rPr>
            <a:t> PERFORMANCE DASHBOARD</a:t>
          </a:r>
          <a:endParaRPr lang="en-US" sz="2800" b="1" u="none"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0</xdr:col>
      <xdr:colOff>535264</xdr:colOff>
      <xdr:row>4</xdr:row>
      <xdr:rowOff>212223</xdr:rowOff>
    </xdr:from>
    <xdr:ext cx="901144" cy="405432"/>
    <xdr:sp macro="" textlink="">
      <xdr:nvSpPr>
        <xdr:cNvPr id="22" name="Rectangle 21">
          <a:extLst>
            <a:ext uri="{FF2B5EF4-FFF2-40B4-BE49-F238E27FC236}">
              <a16:creationId xmlns:a16="http://schemas.microsoft.com/office/drawing/2014/main" id="{00000000-0008-0000-0200-000016000000}"/>
            </a:ext>
          </a:extLst>
        </xdr:cNvPr>
        <xdr:cNvSpPr/>
      </xdr:nvSpPr>
      <xdr:spPr>
        <a:xfrm>
          <a:off x="535264" y="1202823"/>
          <a:ext cx="901144"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Region</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190500</xdr:colOff>
      <xdr:row>6</xdr:row>
      <xdr:rowOff>114301</xdr:rowOff>
    </xdr:from>
    <xdr:to>
      <xdr:col>2</xdr:col>
      <xdr:colOff>133350</xdr:colOff>
      <xdr:row>9</xdr:row>
      <xdr:rowOff>47625</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0" y="1593477"/>
              <a:ext cx="1646144" cy="672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279448</xdr:colOff>
      <xdr:row>9</xdr:row>
      <xdr:rowOff>88398</xdr:rowOff>
    </xdr:from>
    <xdr:ext cx="1396951" cy="405432"/>
    <xdr:sp macro="" textlink="">
      <xdr:nvSpPr>
        <xdr:cNvPr id="24" name="Rectangle 23">
          <a:extLst>
            <a:ext uri="{FF2B5EF4-FFF2-40B4-BE49-F238E27FC236}">
              <a16:creationId xmlns:a16="http://schemas.microsoft.com/office/drawing/2014/main" id="{00000000-0008-0000-0200-000018000000}"/>
            </a:ext>
          </a:extLst>
        </xdr:cNvPr>
        <xdr:cNvSpPr/>
      </xdr:nvSpPr>
      <xdr:spPr>
        <a:xfrm>
          <a:off x="279448" y="2317248"/>
          <a:ext cx="1396951" cy="405432"/>
        </a:xfrm>
        <a:prstGeom prst="rect">
          <a:avLst/>
        </a:prstGeom>
        <a:noFill/>
      </xdr:spPr>
      <xdr:txBody>
        <a:bodyPr wrap="squar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Category</a:t>
          </a:r>
        </a:p>
      </xdr:txBody>
    </xdr:sp>
    <xdr:clientData/>
  </xdr:oneCellAnchor>
  <xdr:twoCellAnchor editAs="oneCell">
    <xdr:from>
      <xdr:col>0</xdr:col>
      <xdr:colOff>200024</xdr:colOff>
      <xdr:row>10</xdr:row>
      <xdr:rowOff>219076</xdr:rowOff>
    </xdr:from>
    <xdr:to>
      <xdr:col>2</xdr:col>
      <xdr:colOff>123825</xdr:colOff>
      <xdr:row>14</xdr:row>
      <xdr:rowOff>161926</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024" y="2684370"/>
              <a:ext cx="1627095" cy="92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397783</xdr:colOff>
      <xdr:row>16</xdr:row>
      <xdr:rowOff>41507</xdr:rowOff>
    </xdr:from>
    <xdr:ext cx="1069067" cy="405432"/>
    <xdr:sp macro="" textlink="">
      <xdr:nvSpPr>
        <xdr:cNvPr id="26" name="Rectangle 25">
          <a:extLst>
            <a:ext uri="{FF2B5EF4-FFF2-40B4-BE49-F238E27FC236}">
              <a16:creationId xmlns:a16="http://schemas.microsoft.com/office/drawing/2014/main" id="{00000000-0008-0000-0200-00001A000000}"/>
            </a:ext>
          </a:extLst>
        </xdr:cNvPr>
        <xdr:cNvSpPr/>
      </xdr:nvSpPr>
      <xdr:spPr>
        <a:xfrm>
          <a:off x="397783" y="4003907"/>
          <a:ext cx="1069067" cy="405432"/>
        </a:xfrm>
        <a:prstGeom prst="rect">
          <a:avLst/>
        </a:prstGeom>
        <a:noFill/>
      </xdr:spPr>
      <xdr:txBody>
        <a:bodyPr wrap="square" lIns="91440" tIns="45720" rIns="91440" bIns="45720" anchor="ctr">
          <a:spAutoFit/>
        </a:bodyPr>
        <a:lstStyle/>
        <a:p>
          <a:pPr algn="ctr"/>
          <a:endParaRPr lang="en-US" sz="20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0</xdr:col>
      <xdr:colOff>141390</xdr:colOff>
      <xdr:row>15</xdr:row>
      <xdr:rowOff>40773</xdr:rowOff>
    </xdr:from>
    <xdr:ext cx="1784143" cy="405432"/>
    <xdr:sp macro="" textlink="">
      <xdr:nvSpPr>
        <xdr:cNvPr id="28" name="Rectangle 27">
          <a:extLst>
            <a:ext uri="{FF2B5EF4-FFF2-40B4-BE49-F238E27FC236}">
              <a16:creationId xmlns:a16="http://schemas.microsoft.com/office/drawing/2014/main" id="{00000000-0008-0000-0200-00001C000000}"/>
            </a:ext>
          </a:extLst>
        </xdr:cNvPr>
        <xdr:cNvSpPr/>
      </xdr:nvSpPr>
      <xdr:spPr>
        <a:xfrm>
          <a:off x="141390" y="3755523"/>
          <a:ext cx="1784143"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Payment</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Mode</a:t>
          </a:r>
          <a:endParaRPr lang="en-US" sz="5400" b="0" cap="none" spc="0" baseline="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200025</xdr:colOff>
      <xdr:row>16</xdr:row>
      <xdr:rowOff>180975</xdr:rowOff>
    </xdr:from>
    <xdr:to>
      <xdr:col>2</xdr:col>
      <xdr:colOff>123825</xdr:colOff>
      <xdr:row>20</xdr:row>
      <xdr:rowOff>228600</xdr:rowOff>
    </xdr:to>
    <mc:AlternateContent xmlns:mc="http://schemas.openxmlformats.org/markup-compatibility/2006" xmlns:a14="http://schemas.microsoft.com/office/drawing/2010/main">
      <mc:Choice Requires="a14">
        <xdr:graphicFrame macro="">
          <xdr:nvGraphicFramePr>
            <xdr:cNvPr id="29" name="Payment Mode">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00025" y="4125446"/>
              <a:ext cx="1627094" cy="103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133918</xdr:colOff>
      <xdr:row>26</xdr:row>
      <xdr:rowOff>231273</xdr:rowOff>
    </xdr:from>
    <xdr:ext cx="1760995" cy="405432"/>
    <xdr:sp macro="" textlink="">
      <xdr:nvSpPr>
        <xdr:cNvPr id="30" name="Rectangle 29">
          <a:extLst>
            <a:ext uri="{FF2B5EF4-FFF2-40B4-BE49-F238E27FC236}">
              <a16:creationId xmlns:a16="http://schemas.microsoft.com/office/drawing/2014/main" id="{00000000-0008-0000-0200-00001E000000}"/>
            </a:ext>
          </a:extLst>
        </xdr:cNvPr>
        <xdr:cNvSpPr/>
      </xdr:nvSpPr>
      <xdr:spPr>
        <a:xfrm>
          <a:off x="133918" y="6670173"/>
          <a:ext cx="1760995"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Customer</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Type</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247649</xdr:colOff>
      <xdr:row>28</xdr:row>
      <xdr:rowOff>114300</xdr:rowOff>
    </xdr:from>
    <xdr:to>
      <xdr:col>2</xdr:col>
      <xdr:colOff>76200</xdr:colOff>
      <xdr:row>30</xdr:row>
      <xdr:rowOff>190500</xdr:rowOff>
    </xdr:to>
    <mc:AlternateContent xmlns:mc="http://schemas.openxmlformats.org/markup-compatibility/2006" xmlns:a14="http://schemas.microsoft.com/office/drawing/2010/main">
      <mc:Choice Requires="a14">
        <xdr:graphicFrame macro="">
          <xdr:nvGraphicFramePr>
            <xdr:cNvPr id="31" name="Customer Type">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47649" y="7017124"/>
              <a:ext cx="1531845" cy="569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543269</xdr:colOff>
      <xdr:row>21</xdr:row>
      <xdr:rowOff>21723</xdr:rowOff>
    </xdr:from>
    <xdr:ext cx="894669" cy="405432"/>
    <xdr:sp macro="" textlink="">
      <xdr:nvSpPr>
        <xdr:cNvPr id="32" name="Rectangle 31">
          <a:extLst>
            <a:ext uri="{FF2B5EF4-FFF2-40B4-BE49-F238E27FC236}">
              <a16:creationId xmlns:a16="http://schemas.microsoft.com/office/drawing/2014/main" id="{00000000-0008-0000-0200-000020000000}"/>
            </a:ext>
          </a:extLst>
        </xdr:cNvPr>
        <xdr:cNvSpPr/>
      </xdr:nvSpPr>
      <xdr:spPr>
        <a:xfrm>
          <a:off x="543269" y="5198841"/>
          <a:ext cx="894669"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Month</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xdr:from>
      <xdr:col>2</xdr:col>
      <xdr:colOff>312967</xdr:colOff>
      <xdr:row>2</xdr:row>
      <xdr:rowOff>149680</xdr:rowOff>
    </xdr:from>
    <xdr:to>
      <xdr:col>5</xdr:col>
      <xdr:colOff>257206</xdr:colOff>
      <xdr:row>6</xdr:row>
      <xdr:rowOff>56744</xdr:rowOff>
    </xdr:to>
    <xdr:sp macro="" textlink="">
      <xdr:nvSpPr>
        <xdr:cNvPr id="36" name="Rectangle 35">
          <a:extLst>
            <a:ext uri="{FF2B5EF4-FFF2-40B4-BE49-F238E27FC236}">
              <a16:creationId xmlns:a16="http://schemas.microsoft.com/office/drawing/2014/main" id="{00000000-0008-0000-0200-000024000000}"/>
            </a:ext>
          </a:extLst>
        </xdr:cNvPr>
        <xdr:cNvSpPr/>
      </xdr:nvSpPr>
      <xdr:spPr>
        <a:xfrm>
          <a:off x="2000253" y="639537"/>
          <a:ext cx="2475167" cy="886778"/>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424543</xdr:colOff>
      <xdr:row>2</xdr:row>
      <xdr:rowOff>138793</xdr:rowOff>
    </xdr:from>
    <xdr:to>
      <xdr:col>8</xdr:col>
      <xdr:colOff>438149</xdr:colOff>
      <xdr:row>6</xdr:row>
      <xdr:rowOff>70757</xdr:rowOff>
    </xdr:to>
    <xdr:sp macro="" textlink="">
      <xdr:nvSpPr>
        <xdr:cNvPr id="37" name="Rectangle 36">
          <a:extLst>
            <a:ext uri="{FF2B5EF4-FFF2-40B4-BE49-F238E27FC236}">
              <a16:creationId xmlns:a16="http://schemas.microsoft.com/office/drawing/2014/main" id="{00000000-0008-0000-0200-000025000000}"/>
            </a:ext>
          </a:extLst>
        </xdr:cNvPr>
        <xdr:cNvSpPr/>
      </xdr:nvSpPr>
      <xdr:spPr>
        <a:xfrm>
          <a:off x="4642757" y="628650"/>
          <a:ext cx="2544535" cy="911678"/>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8</xdr:col>
      <xdr:colOff>592952</xdr:colOff>
      <xdr:row>2</xdr:row>
      <xdr:rowOff>143917</xdr:rowOff>
    </xdr:from>
    <xdr:to>
      <xdr:col>11</xdr:col>
      <xdr:colOff>606559</xdr:colOff>
      <xdr:row>6</xdr:row>
      <xdr:rowOff>75881</xdr:rowOff>
    </xdr:to>
    <xdr:sp macro="" textlink="">
      <xdr:nvSpPr>
        <xdr:cNvPr id="38" name="Rectangle 37">
          <a:extLst>
            <a:ext uri="{FF2B5EF4-FFF2-40B4-BE49-F238E27FC236}">
              <a16:creationId xmlns:a16="http://schemas.microsoft.com/office/drawing/2014/main" id="{00000000-0008-0000-0200-000026000000}"/>
            </a:ext>
          </a:extLst>
        </xdr:cNvPr>
        <xdr:cNvSpPr/>
      </xdr:nvSpPr>
      <xdr:spPr>
        <a:xfrm>
          <a:off x="7406128" y="636976"/>
          <a:ext cx="2568549" cy="918081"/>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731744</xdr:colOff>
      <xdr:row>2</xdr:row>
      <xdr:rowOff>153041</xdr:rowOff>
    </xdr:from>
    <xdr:to>
      <xdr:col>14</xdr:col>
      <xdr:colOff>745350</xdr:colOff>
      <xdr:row>6</xdr:row>
      <xdr:rowOff>85005</xdr:rowOff>
    </xdr:to>
    <xdr:sp macro="" textlink="">
      <xdr:nvSpPr>
        <xdr:cNvPr id="39" name="Rectangle 38">
          <a:extLst>
            <a:ext uri="{FF2B5EF4-FFF2-40B4-BE49-F238E27FC236}">
              <a16:creationId xmlns:a16="http://schemas.microsoft.com/office/drawing/2014/main" id="{00000000-0008-0000-0200-000027000000}"/>
            </a:ext>
          </a:extLst>
        </xdr:cNvPr>
        <xdr:cNvSpPr/>
      </xdr:nvSpPr>
      <xdr:spPr>
        <a:xfrm>
          <a:off x="10099862" y="646100"/>
          <a:ext cx="2568547" cy="918081"/>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414618</xdr:colOff>
      <xdr:row>2</xdr:row>
      <xdr:rowOff>212913</xdr:rowOff>
    </xdr:from>
    <xdr:to>
      <xdr:col>5</xdr:col>
      <xdr:colOff>145677</xdr:colOff>
      <xdr:row>4</xdr:row>
      <xdr:rowOff>67236</xdr:rowOff>
    </xdr:to>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2117912" y="705972"/>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u="sng"/>
            <a:t>TOTAL</a:t>
          </a:r>
          <a:r>
            <a:rPr lang="en-US" sz="2000" b="1" u="sng" baseline="0"/>
            <a:t> SALES</a:t>
          </a:r>
          <a:endParaRPr lang="en-US" sz="2000" b="1" u="sng"/>
        </a:p>
      </xdr:txBody>
    </xdr:sp>
    <xdr:clientData/>
  </xdr:twoCellAnchor>
  <xdr:twoCellAnchor>
    <xdr:from>
      <xdr:col>5</xdr:col>
      <xdr:colOff>555812</xdr:colOff>
      <xdr:row>2</xdr:row>
      <xdr:rowOff>219636</xdr:rowOff>
    </xdr:from>
    <xdr:to>
      <xdr:col>8</xdr:col>
      <xdr:colOff>286871</xdr:colOff>
      <xdr:row>4</xdr:row>
      <xdr:rowOff>73959</xdr:rowOff>
    </xdr:to>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4814047" y="712695"/>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a:t>
          </a:r>
          <a:r>
            <a:rPr lang="en-US" sz="1400" baseline="0"/>
            <a:t> PROFITE</a:t>
          </a:r>
          <a:endParaRPr lang="en-US" sz="1400"/>
        </a:p>
      </xdr:txBody>
    </xdr:sp>
    <xdr:clientData/>
  </xdr:twoCellAnchor>
  <xdr:twoCellAnchor>
    <xdr:from>
      <xdr:col>8</xdr:col>
      <xdr:colOff>741830</xdr:colOff>
      <xdr:row>2</xdr:row>
      <xdr:rowOff>203949</xdr:rowOff>
    </xdr:from>
    <xdr:to>
      <xdr:col>11</xdr:col>
      <xdr:colOff>472888</xdr:colOff>
      <xdr:row>4</xdr:row>
      <xdr:rowOff>58272</xdr:rowOff>
    </xdr:to>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7555006" y="697008"/>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a:t>
          </a:r>
          <a:r>
            <a:rPr lang="en-US" sz="1800" baseline="0"/>
            <a:t> ORDERS</a:t>
          </a:r>
          <a:endParaRPr lang="en-US" sz="1800"/>
        </a:p>
      </xdr:txBody>
    </xdr:sp>
    <xdr:clientData/>
  </xdr:twoCellAnchor>
  <xdr:twoCellAnchor>
    <xdr:from>
      <xdr:col>12</xdr:col>
      <xdr:colOff>20170</xdr:colOff>
      <xdr:row>2</xdr:row>
      <xdr:rowOff>233084</xdr:rowOff>
    </xdr:from>
    <xdr:to>
      <xdr:col>14</xdr:col>
      <xdr:colOff>602876</xdr:colOff>
      <xdr:row>4</xdr:row>
      <xdr:rowOff>87407</xdr:rowOff>
    </xdr:to>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10239935" y="726143"/>
          <a:ext cx="2286000" cy="34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AVERAGE</a:t>
          </a:r>
        </a:p>
      </xdr:txBody>
    </xdr:sp>
    <xdr:clientData/>
  </xdr:twoCellAnchor>
  <xdr:twoCellAnchor editAs="oneCell">
    <xdr:from>
      <xdr:col>0</xdr:col>
      <xdr:colOff>246529</xdr:colOff>
      <xdr:row>22</xdr:row>
      <xdr:rowOff>145676</xdr:rowOff>
    </xdr:from>
    <xdr:to>
      <xdr:col>2</xdr:col>
      <xdr:colOff>67234</xdr:colOff>
      <xdr:row>26</xdr:row>
      <xdr:rowOff>179293</xdr:rowOff>
    </xdr:to>
    <mc:AlternateContent xmlns:mc="http://schemas.openxmlformats.org/markup-compatibility/2006" xmlns:a14="http://schemas.microsoft.com/office/drawing/2010/main">
      <mc:Choice Requires="a14">
        <xdr:graphicFrame macro="">
          <xdr:nvGraphicFramePr>
            <xdr:cNvPr id="45" name="Months">
              <a:extLst>
                <a:ext uri="{FF2B5EF4-FFF2-40B4-BE49-F238E27FC236}">
                  <a16:creationId xmlns:a16="http://schemas.microsoft.com/office/drawing/2014/main" id="{00000000-0008-0000-0200-00002D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46529" y="5569323"/>
              <a:ext cx="1523999" cy="1019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313763</xdr:colOff>
      <xdr:row>6</xdr:row>
      <xdr:rowOff>168089</xdr:rowOff>
    </xdr:from>
    <xdr:to>
      <xdr:col>5</xdr:col>
      <xdr:colOff>381000</xdr:colOff>
      <xdr:row>17</xdr:row>
      <xdr:rowOff>0</xdr:rowOff>
    </xdr:to>
    <xdr:graphicFrame macro="">
      <xdr:nvGraphicFramePr>
        <xdr:cNvPr id="46" name="Chart 45">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414617</xdr:colOff>
      <xdr:row>17</xdr:row>
      <xdr:rowOff>58615</xdr:rowOff>
    </xdr:from>
    <xdr:to>
      <xdr:col>14</xdr:col>
      <xdr:colOff>784411</xdr:colOff>
      <xdr:row>31</xdr:row>
      <xdr:rowOff>124558</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427426</xdr:colOff>
      <xdr:row>6</xdr:row>
      <xdr:rowOff>162645</xdr:rowOff>
    </xdr:from>
    <xdr:to>
      <xdr:col>8</xdr:col>
      <xdr:colOff>696058</xdr:colOff>
      <xdr:row>17</xdr:row>
      <xdr:rowOff>5443</xdr:rowOff>
    </xdr:to>
    <xdr:graphicFrame macro="">
      <xdr:nvGraphicFramePr>
        <xdr:cNvPr id="49" name="Chart 48">
          <a:extLst>
            <a:ext uri="{FF2B5EF4-FFF2-40B4-BE49-F238E27FC236}">
              <a16:creationId xmlns:a16="http://schemas.microsoft.com/office/drawing/2014/main" id="{00000000-0008-0000-02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795187</xdr:colOff>
      <xdr:row>6</xdr:row>
      <xdr:rowOff>179295</xdr:rowOff>
    </xdr:from>
    <xdr:to>
      <xdr:col>14</xdr:col>
      <xdr:colOff>739587</xdr:colOff>
      <xdr:row>17</xdr:row>
      <xdr:rowOff>11206</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313765</xdr:colOff>
      <xdr:row>17</xdr:row>
      <xdr:rowOff>56030</xdr:rowOff>
    </xdr:from>
    <xdr:to>
      <xdr:col>8</xdr:col>
      <xdr:colOff>358588</xdr:colOff>
      <xdr:row>31</xdr:row>
      <xdr:rowOff>134470</xdr:rowOff>
    </xdr:to>
    <xdr:graphicFrame macro="">
      <xdr:nvGraphicFramePr>
        <xdr:cNvPr id="51" name="Chart 50">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414618</xdr:colOff>
      <xdr:row>4</xdr:row>
      <xdr:rowOff>134470</xdr:rowOff>
    </xdr:from>
    <xdr:to>
      <xdr:col>5</xdr:col>
      <xdr:colOff>134471</xdr:colOff>
      <xdr:row>5</xdr:row>
      <xdr:rowOff>168088</xdr:rowOff>
    </xdr:to>
    <xdr:sp macro="" textlink="Pivot_Table!J21">
      <xdr:nvSpPr>
        <xdr:cNvPr id="52" name="TextBox 51">
          <a:extLst>
            <a:ext uri="{FF2B5EF4-FFF2-40B4-BE49-F238E27FC236}">
              <a16:creationId xmlns:a16="http://schemas.microsoft.com/office/drawing/2014/main" id="{00000000-0008-0000-0200-000034000000}"/>
            </a:ext>
          </a:extLst>
        </xdr:cNvPr>
        <xdr:cNvSpPr txBox="1"/>
      </xdr:nvSpPr>
      <xdr:spPr>
        <a:xfrm>
          <a:off x="2117912" y="1120588"/>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99827-1734-4242-9AA2-BA87E038BD76}" type="TxLink">
            <a:rPr lang="en-US" sz="1600" b="0" i="0" u="none" strike="noStrike">
              <a:solidFill>
                <a:srgbClr val="000000"/>
              </a:solidFill>
              <a:latin typeface="Calibri"/>
              <a:cs typeface="Calibri"/>
            </a:rPr>
            <a:pPr algn="ctr"/>
            <a:t>204473674.9</a:t>
          </a:fld>
          <a:endParaRPr lang="en-US" sz="1600"/>
        </a:p>
      </xdr:txBody>
    </xdr:sp>
    <xdr:clientData/>
  </xdr:twoCellAnchor>
  <xdr:twoCellAnchor>
    <xdr:from>
      <xdr:col>5</xdr:col>
      <xdr:colOff>571500</xdr:colOff>
      <xdr:row>4</xdr:row>
      <xdr:rowOff>180414</xdr:rowOff>
    </xdr:from>
    <xdr:to>
      <xdr:col>8</xdr:col>
      <xdr:colOff>291353</xdr:colOff>
      <xdr:row>5</xdr:row>
      <xdr:rowOff>214032</xdr:rowOff>
    </xdr:to>
    <xdr:sp macro="" textlink="Pivot_Table!L3">
      <xdr:nvSpPr>
        <xdr:cNvPr id="2" name="TextBox 1">
          <a:extLst>
            <a:ext uri="{FF2B5EF4-FFF2-40B4-BE49-F238E27FC236}">
              <a16:creationId xmlns:a16="http://schemas.microsoft.com/office/drawing/2014/main" id="{570F0DB1-A78A-4349-992F-3BFA66EC2B95}"/>
            </a:ext>
          </a:extLst>
        </xdr:cNvPr>
        <xdr:cNvSpPr txBox="1"/>
      </xdr:nvSpPr>
      <xdr:spPr>
        <a:xfrm>
          <a:off x="4829735" y="1166532"/>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45A88C-CC79-4977-94C8-2CA7E173D901}" type="TxLink">
            <a:rPr lang="en-US" sz="1400" b="0" i="0" u="none" strike="noStrike">
              <a:solidFill>
                <a:srgbClr val="000000"/>
              </a:solidFill>
              <a:latin typeface="Calibri"/>
              <a:ea typeface="Calibri"/>
              <a:cs typeface="Calibri"/>
            </a:rPr>
            <a:pPr algn="ctr"/>
            <a:t>38817462.75</a:t>
          </a:fld>
          <a:endParaRPr lang="en-US" sz="2000"/>
        </a:p>
      </xdr:txBody>
    </xdr:sp>
    <xdr:clientData/>
  </xdr:twoCellAnchor>
  <xdr:twoCellAnchor>
    <xdr:from>
      <xdr:col>8</xdr:col>
      <xdr:colOff>757518</xdr:colOff>
      <xdr:row>4</xdr:row>
      <xdr:rowOff>175931</xdr:rowOff>
    </xdr:from>
    <xdr:to>
      <xdr:col>11</xdr:col>
      <xdr:colOff>477370</xdr:colOff>
      <xdr:row>5</xdr:row>
      <xdr:rowOff>209549</xdr:rowOff>
    </xdr:to>
    <xdr:sp macro="" textlink="Pivot_Table!K5">
      <xdr:nvSpPr>
        <xdr:cNvPr id="4" name="TextBox 3">
          <a:extLst>
            <a:ext uri="{FF2B5EF4-FFF2-40B4-BE49-F238E27FC236}">
              <a16:creationId xmlns:a16="http://schemas.microsoft.com/office/drawing/2014/main" id="{42BB0B55-2CA1-4613-A282-7956DD834D0F}"/>
            </a:ext>
          </a:extLst>
        </xdr:cNvPr>
        <xdr:cNvSpPr txBox="1"/>
      </xdr:nvSpPr>
      <xdr:spPr>
        <a:xfrm>
          <a:off x="7570694" y="1162049"/>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81E4AE-C4F7-4E4D-80F3-84B7D78F1F04}" type="TxLink">
            <a:rPr lang="en-US" sz="1600" b="0" i="0" u="none" strike="noStrike">
              <a:solidFill>
                <a:srgbClr val="000000"/>
              </a:solidFill>
              <a:latin typeface="Calibri"/>
              <a:ea typeface="Calibri"/>
              <a:cs typeface="Calibri"/>
            </a:rPr>
            <a:pPr algn="ctr"/>
            <a:t>1000</a:t>
          </a:fld>
          <a:endParaRPr lang="en-US" sz="2400"/>
        </a:p>
      </xdr:txBody>
    </xdr:sp>
    <xdr:clientData/>
  </xdr:twoCellAnchor>
  <xdr:twoCellAnchor>
    <xdr:from>
      <xdr:col>12</xdr:col>
      <xdr:colOff>47064</xdr:colOff>
      <xdr:row>4</xdr:row>
      <xdr:rowOff>193860</xdr:rowOff>
    </xdr:from>
    <xdr:to>
      <xdr:col>14</xdr:col>
      <xdr:colOff>618564</xdr:colOff>
      <xdr:row>5</xdr:row>
      <xdr:rowOff>227478</xdr:rowOff>
    </xdr:to>
    <xdr:sp macro="" textlink="Pivot_Table!L5">
      <xdr:nvSpPr>
        <xdr:cNvPr id="5" name="TextBox 4">
          <a:extLst>
            <a:ext uri="{FF2B5EF4-FFF2-40B4-BE49-F238E27FC236}">
              <a16:creationId xmlns:a16="http://schemas.microsoft.com/office/drawing/2014/main" id="{C44DC391-B384-4097-B067-3D2FB1DF8A17}"/>
            </a:ext>
          </a:extLst>
        </xdr:cNvPr>
        <xdr:cNvSpPr txBox="1"/>
      </xdr:nvSpPr>
      <xdr:spPr>
        <a:xfrm>
          <a:off x="10266829" y="1179978"/>
          <a:ext cx="2274794"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A4CEC3-FED8-42B9-AADC-9EAC6553F9A4}" type="TxLink">
            <a:rPr lang="en-US" sz="1600" b="0" i="0" u="none" strike="noStrike">
              <a:solidFill>
                <a:srgbClr val="000000"/>
              </a:solidFill>
              <a:latin typeface="Calibri"/>
              <a:ea typeface="Calibri"/>
              <a:cs typeface="Calibri"/>
            </a:rPr>
            <a:pPr algn="ctr"/>
            <a:t>204473.6749</a:t>
          </a:fld>
          <a:endParaRPr lang="en-US"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0" refreshedDate="46210.500982986108" createdVersion="8" refreshedVersion="8" minRefreshableVersion="3" recordCount="1000" xr:uid="{00000000-000A-0000-FFFF-FFFF0F000000}">
  <cacheSource type="worksheet">
    <worksheetSource ref="A1:Q1001" sheet="Data"/>
  </cacheSource>
  <cacheFields count="17">
    <cacheField name="Customer ID" numFmtId="0">
      <sharedItems containsSemiMixedTypes="0" containsString="0" containsNumber="1" containsInteger="1" minValue="101" maxValue="1100"/>
    </cacheField>
    <cacheField name="Customer Name" numFmtId="0">
      <sharedItems/>
    </cacheField>
    <cacheField name="Region" numFmtId="0">
      <sharedItems count="4">
        <s v="North"/>
        <s v="East"/>
        <s v="South"/>
        <s v="West"/>
      </sharedItems>
    </cacheField>
    <cacheField name="Category" numFmtId="0">
      <sharedItems count="5">
        <s v="Accessories"/>
        <s v="Home Appliances"/>
        <s v="Furniture"/>
        <s v="Electronics"/>
        <s v="Clothing"/>
      </sharedItems>
    </cacheField>
    <cacheField name="Product" numFmtId="0">
      <sharedItems count="16">
        <s v="Mouse"/>
        <s v="Microwave"/>
        <s v="Headphones"/>
        <s v="Desk"/>
        <s v="Fridge"/>
        <s v="Sofa"/>
        <s v="Chair"/>
        <s v="Mobile"/>
        <s v="Laptop"/>
        <s v="Charger"/>
        <s v="Shirt"/>
        <s v="Jeans"/>
        <s v="Monitor"/>
        <s v="Jacket"/>
        <s v="Mixer"/>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30" maxValue="79973"/>
    </cacheField>
    <cacheField name="Date" numFmtId="0">
      <sharedItems count="562">
        <s v="12-02-2023"/>
        <s v="10-03-2024"/>
        <s v="09-04-2023"/>
        <s v="13-08-2023"/>
        <s v="01-09-2023"/>
        <s v="01-01-2024"/>
        <s v="05-12-2023"/>
        <s v="07-06-2024"/>
        <s v="04-04-2023"/>
        <s v="17-09-2023"/>
        <s v="29-01-2023"/>
        <s v="12-05-2023"/>
        <s v="31-10-2023"/>
        <s v="16-03-2024"/>
        <s v="05-10-2023"/>
        <s v="07-11-2023"/>
        <s v="30-05-2024"/>
        <s v="27-05-2024"/>
        <s v="08-02-2023"/>
        <s v="13-01-2024"/>
        <s v="01-03-2023"/>
        <s v="27-06-2024"/>
        <s v="02-12-2024"/>
        <s v="19-11-2023"/>
        <s v="29-02-2024"/>
        <s v="17-03-2024"/>
        <s v="02-10-2023"/>
        <s v="06-09-2023"/>
        <s v="10-12-2024"/>
        <s v="13-09-2024"/>
        <s v="06-08-2023"/>
        <s v="29-03-2024"/>
        <s v="12-02-2024"/>
        <s v="30-10-2024"/>
        <s v="09-10-2023"/>
        <s v="27-08-2024"/>
        <s v="18-03-2024"/>
        <s v="25-10-2024"/>
        <s v="11-11-2024"/>
        <s v="01-11-2023"/>
        <s v="08-08-2024"/>
        <s v="25-11-2023"/>
        <s v="08-04-2023"/>
        <s v="25-10-2023"/>
        <s v="13-02-2024"/>
        <s v="16-09-2023"/>
        <s v="26-03-2024"/>
        <s v="23-05-2024"/>
        <s v="19-02-2023"/>
        <s v="05-11-2024"/>
        <s v="14-04-2023"/>
        <s v="25-11-2024"/>
        <s v="25-01-2024"/>
        <s v="10-07-2024"/>
        <s v="10-06-2023"/>
        <s v="05-03-2024"/>
        <s v="18-11-2023"/>
        <s v="22-11-2024"/>
        <s v="02-07-2023"/>
        <s v="17-10-2024"/>
        <s v="20-02-2023"/>
        <s v="09-11-2023"/>
        <s v="31-10-2024"/>
        <s v="27-01-2023"/>
        <s v="09-04-2024"/>
        <s v="23-10-2024"/>
        <s v="29-12-2023"/>
        <s v="21-01-2024"/>
        <s v="13-06-2024"/>
        <s v="10-10-2024"/>
        <s v="21-11-2023"/>
        <s v="12-03-2024"/>
        <s v="19-09-2023"/>
        <s v="01-09-2024"/>
        <s v="10-03-2023"/>
        <s v="07-04-2024"/>
        <s v="01-08-2024"/>
        <s v="02-03-2023"/>
        <s v="21-02-2023"/>
        <s v="10-11-2023"/>
        <s v="10-10-2023"/>
        <s v="16-02-2023"/>
        <s v="20-07-2024"/>
        <s v="21-09-2023"/>
        <s v="16-07-2023"/>
        <s v="30-06-2023"/>
        <s v="12-06-2024"/>
        <s v="19-10-2024"/>
        <s v="22-06-2023"/>
        <s v="28-01-2023"/>
        <s v="10-04-2024"/>
        <s v="23-07-2024"/>
        <s v="20-04-2024"/>
        <s v="16-01-2024"/>
        <s v="28-12-2023"/>
        <s v="23-05-2023"/>
        <s v="06-04-2023"/>
        <s v="10-05-2023"/>
        <s v="09-09-2024"/>
        <s v="09-02-2023"/>
        <s v="06-02-2024"/>
        <s v="27-06-2023"/>
        <s v="07-02-2023"/>
        <s v="12-01-2024"/>
        <s v="15-05-2023"/>
        <s v="18-12-2024"/>
        <s v="17-06-2024"/>
        <s v="19-06-2023"/>
        <s v="19-05-2023"/>
        <s v="22-05-2024"/>
        <s v="16-12-2024"/>
        <s v="18-07-2023"/>
        <s v="18-02-2023"/>
        <s v="28-03-2023"/>
        <s v="25-12-2024"/>
        <s v="12-05-2024"/>
        <s v="29-06-2024"/>
        <s v="09-08-2024"/>
        <s v="15-04-2024"/>
        <s v="30-10-2023"/>
        <s v="20-10-2023"/>
        <s v="07-07-2023"/>
        <s v="27-11-2024"/>
        <s v="11-07-2024"/>
        <s v="16-03-2023"/>
        <s v="17-10-2023"/>
        <s v="29-08-2024"/>
        <s v="18-08-2024"/>
        <s v="05-06-2023"/>
        <s v="19-05-2024"/>
        <s v="03-03-2023"/>
        <s v="08-01-2023"/>
        <s v="09-06-2024"/>
        <s v="06-12-2023"/>
        <s v="25-03-2024"/>
        <s v="09-01-2023"/>
        <s v="24-09-2023"/>
        <s v="23-07-2023"/>
        <s v="13-05-2023"/>
        <s v="07-07-2024"/>
        <s v="01-03-2024"/>
        <s v="27-11-2023"/>
        <s v="24-12-2023"/>
        <s v="21-05-2023"/>
        <s v="21-04-2023"/>
        <s v="27-09-2024"/>
        <s v="21-04-2024"/>
        <s v="30-11-2023"/>
        <s v="28-01-2024"/>
        <s v="13-11-2023"/>
        <s v="01-11-2024"/>
        <s v="08-10-2023"/>
        <s v="21-08-2023"/>
        <s v="09-07-2024"/>
        <s v="05-06-2024"/>
        <s v="07-12-2023"/>
        <s v="09-05-2024"/>
        <s v="18-08-2023"/>
        <s v="10-09-2024"/>
        <s v="02-06-2023"/>
        <s v="13-03-2024"/>
        <s v="21-12-2023"/>
        <s v="30-04-2024"/>
        <s v="24-07-2023"/>
        <s v="04-08-2023"/>
        <s v="02-01-2023"/>
        <s v="25-05-2023"/>
        <s v="17-12-2024"/>
        <s v="20-09-2024"/>
        <s v="01-08-2023"/>
        <s v="05-04-2024"/>
        <s v="03-06-2024"/>
        <s v="08-12-2024"/>
        <s v="29-07-2024"/>
        <s v="09-03-2023"/>
        <s v="30-11-2024"/>
        <s v="16-07-2024"/>
        <s v="04-09-2023"/>
        <s v="11-03-2023"/>
        <s v="26-04-2023"/>
        <s v="10-05-2024"/>
        <s v="30-07-2024"/>
        <s v="12-07-2024"/>
        <s v="10-11-2024"/>
        <s v="24-06-2023"/>
        <s v="12-12-2024"/>
        <s v="16-10-2024"/>
        <s v="15-04-2023"/>
        <s v="11-08-2024"/>
        <s v="13-03-2023"/>
        <s v="07-08-2023"/>
        <s v="31-05-2024"/>
        <s v="31-03-2023"/>
        <s v="14-06-2024"/>
        <s v="04-05-2023"/>
        <s v="22-11-2023"/>
        <s v="05-01-2024"/>
        <s v="03-01-2024"/>
        <s v="13-07-2024"/>
        <s v="01-04-2024"/>
        <s v="24-08-2023"/>
        <s v="11-02-2023"/>
        <s v="02-02-2023"/>
        <s v="01-05-2023"/>
        <s v="06-05-2023"/>
        <s v="11-09-2024"/>
        <s v="24-01-2024"/>
        <s v="18-06-2023"/>
        <s v="04-01-2023"/>
        <s v="02-07-2024"/>
        <s v="16-11-2023"/>
        <s v="01-06-2024"/>
        <s v="08-12-2023"/>
        <s v="08-02-2024"/>
        <s v="22-10-2023"/>
        <s v="11-05-2024"/>
        <s v="25-07-2023"/>
        <s v="17-07-2023"/>
        <s v="11-06-2024"/>
        <s v="25-04-2023"/>
        <s v="11-12-2024"/>
        <s v="30-05-2023"/>
        <s v="17-05-2024"/>
        <s v="18-04-2023"/>
        <s v="24-11-2024"/>
        <s v="15-03-2023"/>
        <s v="26-11-2024"/>
        <s v="29-12-2024"/>
        <s v="02-04-2023"/>
        <s v="15-06-2024"/>
        <s v="17-03-2023"/>
        <s v="03-02-2024"/>
        <s v="13-05-2024"/>
        <s v="14-02-2023"/>
        <s v="28-11-2024"/>
        <s v="24-01-2023"/>
        <s v="02-10-2024"/>
        <s v="21-10-2023"/>
        <s v="27-07-2023"/>
        <s v="31-12-2023"/>
        <s v="04-07-2024"/>
        <s v="03-02-2023"/>
        <s v="19-01-2024"/>
        <s v="08-05-2024"/>
        <s v="26-11-2023"/>
        <s v="04-02-2023"/>
        <s v="01-12-2023"/>
        <s v="22-03-2024"/>
        <s v="08-09-2024"/>
        <s v="08-05-2023"/>
        <s v="11-01-2023"/>
        <s v="19-12-2024"/>
        <s v="17-02-2024"/>
        <s v="27-07-2024"/>
        <s v="09-11-2024"/>
        <s v="24-10-2023"/>
        <s v="03-10-2024"/>
        <s v="24-12-2024"/>
        <s v="16-09-2024"/>
        <s v="15-03-2024"/>
        <s v="05-07-2024"/>
        <s v="16-06-2023"/>
        <s v="12-06-2023"/>
        <s v="15-08-2023"/>
        <s v="30-01-2023"/>
        <s v="26-01-2023"/>
        <s v="16-05-2023"/>
        <s v="24-06-2024"/>
        <s v="24-10-2024"/>
        <s v="02-08-2023"/>
        <s v="14-10-2024"/>
        <s v="12-12-2023"/>
        <s v="21-07-2024"/>
        <s v="23-02-2024"/>
        <s v="16-01-2023"/>
        <s v="13-08-2024"/>
        <s v="23-02-2023"/>
        <s v="22-05-2023"/>
        <s v="20-06-2023"/>
        <s v="16-04-2024"/>
        <s v="07-09-2023"/>
        <s v="07-03-2024"/>
        <s v="03-11-2023"/>
        <s v="03-09-2024"/>
        <s v="20-08-2024"/>
        <s v="13-12-2024"/>
        <s v="12-08-2023"/>
        <s v="01-02-2024"/>
        <s v="12-09-2023"/>
        <s v="17-01-2023"/>
        <s v="14-03-2024"/>
        <s v="20-07-2023"/>
        <s v="06-10-2023"/>
        <s v="30-03-2023"/>
        <s v="24-03-2023"/>
        <s v="20-05-2023"/>
        <s v="28-08-2024"/>
        <s v="26-10-2023"/>
        <s v="30-08-2023"/>
        <s v="09-09-2023"/>
        <s v="13-09-2023"/>
        <s v="15-05-2024"/>
        <s v="26-09-2023"/>
        <s v="21-06-2023"/>
        <s v="29-07-2023"/>
        <s v="28-06-2023"/>
        <s v="11-09-2023"/>
        <s v="14-07-2023"/>
        <s v="04-03-2024"/>
        <s v="02-06-2024"/>
        <s v="23-03-2023"/>
        <s v="06-02-2023"/>
        <s v="01-01-2023"/>
        <s v="09-05-2023"/>
        <s v="05-03-2023"/>
        <s v="04-06-2023"/>
        <s v="13-01-2023"/>
        <s v="13-04-2023"/>
        <s v="25-08-2023"/>
        <s v="10-02-2024"/>
        <s v="04-03-2023"/>
        <s v="17-08-2023"/>
        <s v="22-01-2024"/>
        <s v="20-05-2024"/>
        <s v="22-03-2023"/>
        <s v="23-09-2024"/>
        <s v="22-06-2024"/>
        <s v="28-04-2023"/>
        <s v="08-08-2023"/>
        <s v="20-09-2023"/>
        <s v="13-10-2023"/>
        <s v="31-07-2023"/>
        <s v="12-03-2023"/>
        <s v="06-09-2024"/>
        <s v="14-10-2023"/>
        <s v="05-11-2023"/>
        <s v="16-08-2024"/>
        <s v="12-04-2023"/>
        <s v="12-10-2024"/>
        <s v="23-09-2023"/>
        <s v="25-06-2024"/>
        <s v="10-06-2024"/>
        <s v="02-05-2024"/>
        <s v="14-08-2024"/>
        <s v="15-07-2024"/>
        <s v="03-12-2023"/>
        <s v="20-11-2024"/>
        <s v="05-05-2024"/>
        <s v="19-07-2024"/>
        <s v="07-04-2023"/>
        <s v="05-02-2024"/>
        <s v="20-06-2024"/>
        <s v="08-04-2024"/>
        <s v="17-04-2024"/>
        <s v="15-12-2023"/>
        <s v="11-10-2023"/>
        <s v="13-10-2024"/>
        <s v="17-01-2024"/>
        <s v="14-12-2023"/>
        <s v="08-03-2024"/>
        <s v="12-09-2024"/>
        <s v="27-09-2023"/>
        <s v="20-04-2023"/>
        <s v="09-02-2024"/>
        <s v="28-02-2023"/>
        <s v="28-09-2024"/>
        <s v="12-10-2023"/>
        <s v="04-07-2023"/>
        <s v="02-11-2023"/>
        <s v="02-01-2024"/>
        <s v="29-04-2024"/>
        <s v="16-10-2023"/>
        <s v="14-05-2024"/>
        <s v="06-01-2024"/>
        <s v="11-07-2023"/>
        <s v="25-09-2023"/>
        <s v="20-01-2023"/>
        <s v="17-12-2023"/>
        <s v="07-05-2023"/>
        <s v="11-06-2023"/>
        <s v="26-01-2024"/>
        <s v="15-01-2024"/>
        <s v="22-08-2024"/>
        <s v="17-11-2023"/>
        <s v="03-07-2023"/>
        <s v="15-10-2023"/>
        <s v="13-02-2023"/>
        <s v="10-08-2023"/>
        <s v="29-09-2023"/>
        <s v="09-07-2023"/>
        <s v="09-10-2024"/>
        <s v="24-05-2023"/>
        <s v="06-03-2024"/>
        <s v="03-07-2024"/>
        <s v="08-06-2023"/>
        <s v="23-12-2023"/>
        <s v="03-08-2024"/>
        <s v="09-08-2023"/>
        <s v="06-11-2024"/>
        <s v="20-02-2024"/>
        <s v="17-06-2023"/>
        <s v="05-07-2023"/>
        <s v="31-08-2023"/>
        <s v="18-12-2023"/>
        <s v="06-04-2024"/>
        <s v="21-06-2024"/>
        <s v="03-05-2024"/>
        <s v="19-02-2024"/>
        <s v="23-01-2023"/>
        <s v="27-05-2023"/>
        <s v="30-01-2024"/>
        <s v="22-02-2023"/>
        <s v="24-03-2024"/>
        <s v="03-08-2023"/>
        <s v="27-10-2023"/>
        <s v="28-07-2023"/>
        <s v="07-06-2023"/>
        <s v="14-11-2024"/>
        <s v="05-01-2023"/>
        <s v="13-07-2023"/>
        <s v="07-03-2023"/>
        <s v="31-05-2023"/>
        <s v="24-11-2023"/>
        <s v="01-02-2023"/>
        <s v="11-03-2024"/>
        <s v="01-12-2024"/>
        <s v="21-05-2024"/>
        <s v="09-01-2024"/>
        <s v="11-04-2024"/>
        <s v="29-03-2023"/>
        <s v="16-12-2023"/>
        <s v="15-12-2024"/>
        <s v="22-08-2023"/>
        <s v="12-11-2023"/>
        <s v="13-06-2023"/>
        <s v="24-05-2024"/>
        <s v="22-07-2023"/>
        <s v="03-01-2023"/>
        <s v="08-07-2024"/>
        <s v="19-07-2023"/>
        <s v="23-11-2023"/>
        <s v="23-08-2024"/>
        <s v="11-12-2023"/>
        <s v="13-04-2024"/>
        <s v="29-11-2023"/>
        <s v="18-04-2024"/>
        <s v="24-09-2024"/>
        <s v="30-12-2024"/>
        <s v="18-05-2023"/>
        <s v="25-02-2024"/>
        <s v="27-03-2023"/>
        <s v="30-04-2023"/>
        <s v="22-04-2023"/>
        <s v="09-12-2023"/>
        <s v="06-06-2024"/>
        <s v="23-01-2024"/>
        <s v="21-12-2024"/>
        <s v="26-12-2023"/>
        <s v="04-09-2024"/>
        <s v="28-06-2024"/>
        <s v="22-02-2024"/>
        <s v="02-02-2024"/>
        <s v="19-03-2024"/>
        <s v="12-11-2024"/>
        <s v="25-07-2024"/>
        <s v="19-12-2023"/>
        <s v="30-09-2023"/>
        <s v="26-07-2024"/>
        <s v="08-03-2023"/>
        <s v="04-02-2024"/>
        <s v="04-12-2024"/>
        <s v="26-06-2024"/>
        <s v="29-11-2024"/>
        <s v="27-04-2024"/>
        <s v="11-04-2023"/>
        <s v="26-05-2023"/>
        <s v="28-02-2024"/>
        <s v="05-02-2023"/>
        <s v="25-05-2024"/>
        <s v="12-04-2024"/>
        <s v="18-05-2024"/>
        <s v="03-06-2023"/>
        <s v="23-12-2024"/>
        <s v="01-04-2023"/>
        <s v="21-08-2024"/>
        <s v="29-05-2024"/>
        <s v="18-10-2024"/>
        <s v="28-10-2024"/>
        <s v="07-01-2024"/>
        <s v="27-02-2024"/>
        <s v="29-09-2024"/>
        <s v="26-03-2023"/>
        <s v="29-01-2024"/>
        <s v="17-07-2024"/>
        <s v="29-04-2023"/>
        <s v="25-08-2024"/>
        <s v="11-05-2023"/>
        <s v="30-07-2023"/>
        <s v="19-09-2024"/>
        <s v="03-11-2024"/>
        <s v="14-04-2024"/>
        <s v="04-06-2024"/>
        <s v="18-06-2024"/>
        <s v="28-05-2024"/>
        <s v="28-10-2023"/>
        <s v="10-07-2023"/>
        <s v="04-04-2024"/>
        <s v="21-07-2023"/>
        <s v="11-10-2024"/>
        <s v="27-10-2024"/>
        <s v="06-11-2023"/>
        <s v="14-11-2023"/>
        <s v="20-10-2024"/>
        <s v="01-05-2024"/>
        <s v="26-02-2024"/>
        <s v="19-10-2023"/>
        <s v="23-04-2023"/>
        <s v="25-04-2024"/>
        <s v="27-12-2024"/>
        <s v="24-04-2024"/>
        <s v="20-11-2023"/>
        <s v="10-08-2024"/>
        <s v="04-08-2024"/>
        <s v="25-03-2023"/>
        <s v="02-09-2023"/>
        <s v="05-10-2024"/>
        <s v="26-06-2023"/>
        <s v="21-09-2024"/>
        <s v="31-01-2023"/>
        <s v="21-01-2023"/>
        <s v="15-01-2023"/>
        <s v="02-12-2023"/>
        <s v="17-08-2024"/>
        <s v="19-03-2023"/>
        <s v="03-12-2024"/>
        <s v="25-01-2023"/>
        <s v="03-03-2024"/>
        <s v="25-06-2023"/>
        <s v="19-08-2024"/>
        <s v="20-03-2023"/>
        <s v="25-09-2024"/>
        <s v="02-05-2023"/>
        <s v="23-10-2023"/>
        <s v="03-04-2023"/>
        <s v="31-03-2024"/>
        <s v="13-11-2024"/>
        <s v="29-10-2024"/>
        <s v="26-09-2024"/>
        <s v="26-05-2024"/>
        <s v="09-06-2023"/>
        <s v="24-08-2024"/>
        <s v="16-11-2024"/>
        <s v="15-06-2023"/>
        <s v="25-02-2023"/>
        <s v="15-02-2023"/>
        <s v="21-02-2024"/>
        <s v="10-02-2023"/>
        <s v="16-05-2024"/>
        <s v="02-11-2024"/>
        <s v="14-06-2023"/>
        <s v="31-01-2024"/>
        <s v="28-07-2024"/>
      </sharedItems>
      <fieldGroup par="16"/>
    </cacheField>
    <cacheField name="Discount %" numFmtId="0">
      <sharedItems containsSemiMixedTypes="0" containsString="0" containsNumber="1" containsInteger="1" minValue="0" maxValue="20"/>
    </cacheField>
    <cacheField name="Sales Rep" numFmtId="0">
      <sharedItems count="6">
        <s v="Jay"/>
        <s v="Kavya"/>
        <s v="Nitin"/>
        <s v="Amit"/>
        <s v="Sonal"/>
        <s v="Mihir"/>
      </sharedItems>
    </cacheField>
    <cacheField name="Payment Mode" numFmtId="0">
      <sharedItems count="4">
        <s v="Net Banking"/>
        <s v="Card"/>
        <s v="Cash"/>
        <s v="UPI"/>
      </sharedItems>
    </cacheField>
    <cacheField name="City" numFmtId="0">
      <sharedItems/>
    </cacheField>
    <cacheField name="Total Sales" numFmtId="0">
      <sharedItems containsSemiMixedTypes="0" containsString="0" containsNumber="1" minValue="451.35" maxValue="792790"/>
    </cacheField>
    <cacheField name="Profit" numFmtId="0">
      <sharedItems containsSemiMixedTypes="0" containsString="0" containsNumber="1" minValue="83.3" maxValue="188292.16"/>
    </cacheField>
    <cacheField name="Order Status" numFmtId="0">
      <sharedItems count="4">
        <s v="Delivered"/>
        <s v="Returned"/>
        <s v="Pending"/>
        <s v="Cancelled"/>
      </sharedItems>
    </cacheField>
    <cacheField name="Customer Type" numFmtId="0">
      <sharedItems count="3">
        <s v="New"/>
        <s v="Returning"/>
        <s v="VIP"/>
      </sharedItems>
    </cacheField>
    <cacheField name="Date2" numFmtId="0" databaseField="0">
      <fieldGroup base="7">
        <discretePr count="562">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ry2" refreshedDate="46212.431776736114" createdVersion="8" refreshedVersion="8" minRefreshableVersion="3" recordCount="203" xr:uid="{A499E47A-1B6C-4E85-9C75-E1FBA51D2CAD}">
  <cacheSource type="worksheet">
    <worksheetSource ref="E34:G237" sheet="Pivot_Table"/>
  </cacheSource>
  <cacheFields count="3">
    <cacheField name="Year" numFmtId="0">
      <sharedItems containsSemiMixedTypes="0" containsString="0" containsNumber="1" containsInteger="1" minValue="2023" maxValue="2024" count="2">
        <n v="2023"/>
        <n v="2024"/>
      </sharedItems>
    </cacheField>
    <cacheField name="Months" numFmtId="0">
      <sharedItems/>
    </cacheField>
    <cacheField name="Months No."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𝓓𝓲𝓿𝔂𝓪𝓷𝓼𝓱" refreshedDate="46210.861907523147" createdVersion="5" refreshedVersion="5" minRefreshableVersion="3" recordCount="563" xr:uid="{00000000-000A-0000-FFFF-FFFF12000000}">
  <cacheSource type="worksheet">
    <worksheetSource ref="E34:G597" sheet="Pivot_Table"/>
  </cacheSource>
  <cacheFields count="3">
    <cacheField name="Year" numFmtId="0">
      <sharedItems containsMixedTypes="1" containsNumber="1" containsInteger="1" minValue="2023" maxValue="2024" count="3">
        <n v="2023"/>
        <n v="2024"/>
        <e v="#VALUE!"/>
      </sharedItems>
    </cacheField>
    <cacheField name="Months" numFmtId="0">
      <sharedItems count="353">
        <s v="January"/>
        <s v="February"/>
        <s v="March"/>
        <s v="April"/>
        <s v="May"/>
        <s v="June"/>
        <s v="July"/>
        <s v="August"/>
        <s v="September"/>
        <s v="October"/>
        <s v="November"/>
        <s v="December"/>
        <s v="13-01-2023"/>
        <s v="13-01-2024"/>
        <s v="13-02-2023"/>
        <s v="13-02-2024"/>
        <s v="13-03-2023"/>
        <s v="13-03-2024"/>
        <s v="13-04-2023"/>
        <s v="13-04-2024"/>
        <s v="13-05-2023"/>
        <s v="13-05-2024"/>
        <s v="13-06-2023"/>
        <s v="13-06-2024"/>
        <s v="13-07-2023"/>
        <s v="13-07-2024"/>
        <s v="13-08-2023"/>
        <s v="13-08-2024"/>
        <s v="13-09-2023"/>
        <s v="13-09-2024"/>
        <s v="13-10-2023"/>
        <s v="13-10-2024"/>
        <s v="13-11-2023"/>
        <s v="13-11-2024"/>
        <s v="13-12-2024"/>
        <s v="14-02-2023"/>
        <s v="14-03-2024"/>
        <s v="14-04-2023"/>
        <s v="14-04-2024"/>
        <s v="14-05-2024"/>
        <s v="14-06-2023"/>
        <s v="14-06-2024"/>
        <s v="14-07-2023"/>
        <s v="14-08-2024"/>
        <s v="14-10-2023"/>
        <s v="14-10-2024"/>
        <s v="14-11-2023"/>
        <s v="14-11-2024"/>
        <s v="14-12-2023"/>
        <s v="15-01-2023"/>
        <s v="15-01-2024"/>
        <s v="15-02-2023"/>
        <s v="15-03-2023"/>
        <s v="15-03-2024"/>
        <s v="15-04-2023"/>
        <s v="15-04-2024"/>
        <s v="15-05-2023"/>
        <s v="15-05-2024"/>
        <s v="15-06-2023"/>
        <s v="15-06-2024"/>
        <s v="15-07-2024"/>
        <s v="15-08-2023"/>
        <s v="15-10-2023"/>
        <s v="15-12-2023"/>
        <s v="15-12-2024"/>
        <s v="16-01-2023"/>
        <s v="16-01-2024"/>
        <s v="16-02-2023"/>
        <s v="16-03-2023"/>
        <s v="16-03-2024"/>
        <s v="16-04-2024"/>
        <s v="16-05-2023"/>
        <s v="16-05-2024"/>
        <s v="16-06-2023"/>
        <s v="16-07-2023"/>
        <s v="16-07-2024"/>
        <s v="16-08-2024"/>
        <s v="16-09-2023"/>
        <s v="16-09-2024"/>
        <s v="16-10-2023"/>
        <s v="16-10-2024"/>
        <s v="16-11-2023"/>
        <s v="16-11-2024"/>
        <s v="16-12-2023"/>
        <s v="16-12-2024"/>
        <s v="17-01-2023"/>
        <s v="17-01-2024"/>
        <s v="17-02-2024"/>
        <s v="17-03-2023"/>
        <s v="17-03-2024"/>
        <s v="17-04-2024"/>
        <s v="17-05-2024"/>
        <s v="17-06-2023"/>
        <s v="17-06-2024"/>
        <s v="17-07-2023"/>
        <s v="17-07-2024"/>
        <s v="17-08-2023"/>
        <s v="17-08-2024"/>
        <s v="17-09-2023"/>
        <s v="17-10-2023"/>
        <s v="17-10-2024"/>
        <s v="17-11-2023"/>
        <s v="17-12-2023"/>
        <s v="17-12-2024"/>
        <s v="18-02-2023"/>
        <s v="18-03-2024"/>
        <s v="18-04-2023"/>
        <s v="18-04-2024"/>
        <s v="18-05-2023"/>
        <s v="18-05-2024"/>
        <s v="18-06-2023"/>
        <s v="18-06-2024"/>
        <s v="18-07-2023"/>
        <s v="18-08-2023"/>
        <s v="18-08-2024"/>
        <s v="18-10-2024"/>
        <s v="18-11-2023"/>
        <s v="18-12-2023"/>
        <s v="18-12-2024"/>
        <s v="19-01-2024"/>
        <s v="19-02-2023"/>
        <s v="19-02-2024"/>
        <s v="19-03-2023"/>
        <s v="19-03-2024"/>
        <s v="19-05-2023"/>
        <s v="19-05-2024"/>
        <s v="19-06-2023"/>
        <s v="19-07-2023"/>
        <s v="19-07-2024"/>
        <s v="19-08-2024"/>
        <s v="19-09-2023"/>
        <s v="19-09-2024"/>
        <s v="19-10-2023"/>
        <s v="19-10-2024"/>
        <s v="19-11-2023"/>
        <s v="19-12-2023"/>
        <s v="19-12-2024"/>
        <s v="20-01-2023"/>
        <s v="20-02-2023"/>
        <s v="20-02-2024"/>
        <s v="20-03-2023"/>
        <s v="20-04-2023"/>
        <s v="20-04-2024"/>
        <s v="20-05-2023"/>
        <s v="20-05-2024"/>
        <s v="20-06-2023"/>
        <s v="20-06-2024"/>
        <s v="20-07-2023"/>
        <s v="20-07-2024"/>
        <s v="20-08-2024"/>
        <s v="20-09-2023"/>
        <s v="20-09-2024"/>
        <s v="20-10-2023"/>
        <s v="20-10-2024"/>
        <s v="20-11-2023"/>
        <s v="20-11-2024"/>
        <s v="21-01-2023"/>
        <s v="21-01-2024"/>
        <s v="21-02-2023"/>
        <s v="21-02-2024"/>
        <s v="21-04-2023"/>
        <s v="21-04-2024"/>
        <s v="21-05-2023"/>
        <s v="21-05-2024"/>
        <s v="21-06-2023"/>
        <s v="21-06-2024"/>
        <s v="21-07-2023"/>
        <s v="21-07-2024"/>
        <s v="21-08-2023"/>
        <s v="21-08-2024"/>
        <s v="21-09-2023"/>
        <s v="21-09-2024"/>
        <s v="21-10-2023"/>
        <s v="21-11-2023"/>
        <s v="21-12-2023"/>
        <s v="21-12-2024"/>
        <s v="22-01-2024"/>
        <s v="22-02-2023"/>
        <s v="22-02-2024"/>
        <s v="22-03-2023"/>
        <s v="22-03-2024"/>
        <s v="22-04-2023"/>
        <s v="22-05-2023"/>
        <s v="22-05-2024"/>
        <s v="22-06-2023"/>
        <s v="22-06-2024"/>
        <s v="22-07-2023"/>
        <s v="22-08-2023"/>
        <s v="22-08-2024"/>
        <s v="22-10-2023"/>
        <s v="22-11-2023"/>
        <s v="22-11-2024"/>
        <s v="23-01-2023"/>
        <s v="23-01-2024"/>
        <s v="23-02-2023"/>
        <s v="23-02-2024"/>
        <s v="23-03-2023"/>
        <s v="23-04-2023"/>
        <s v="23-05-2023"/>
        <s v="23-05-2024"/>
        <s v="23-07-2023"/>
        <s v="23-07-2024"/>
        <s v="23-08-2024"/>
        <s v="23-09-2023"/>
        <s v="23-09-2024"/>
        <s v="23-10-2023"/>
        <s v="23-10-2024"/>
        <s v="23-11-2023"/>
        <s v="23-12-2023"/>
        <s v="23-12-2024"/>
        <s v="24-01-2023"/>
        <s v="24-01-2024"/>
        <s v="24-03-2023"/>
        <s v="24-03-2024"/>
        <s v="24-04-2024"/>
        <s v="24-05-2023"/>
        <s v="24-05-2024"/>
        <s v="24-06-2023"/>
        <s v="24-06-2024"/>
        <s v="24-07-2023"/>
        <s v="24-08-2023"/>
        <s v="24-08-2024"/>
        <s v="24-09-2023"/>
        <s v="24-09-2024"/>
        <s v="24-10-2023"/>
        <s v="24-10-2024"/>
        <s v="24-11-2023"/>
        <s v="24-11-2024"/>
        <s v="24-12-2023"/>
        <s v="24-12-2024"/>
        <s v="25-01-2023"/>
        <s v="25-01-2024"/>
        <s v="25-02-2023"/>
        <s v="25-02-2024"/>
        <s v="25-03-2023"/>
        <s v="25-03-2024"/>
        <s v="25-04-2023"/>
        <s v="25-04-2024"/>
        <s v="25-05-2023"/>
        <s v="25-05-2024"/>
        <s v="25-06-2023"/>
        <s v="25-06-2024"/>
        <s v="25-07-2023"/>
        <s v="25-07-2024"/>
        <s v="25-08-2023"/>
        <s v="25-08-2024"/>
        <s v="25-09-2023"/>
        <s v="25-09-2024"/>
        <s v="25-10-2023"/>
        <s v="25-10-2024"/>
        <s v="25-11-2023"/>
        <s v="25-11-2024"/>
        <s v="25-12-2024"/>
        <s v="26-01-2023"/>
        <s v="26-01-2024"/>
        <s v="26-02-2024"/>
        <s v="26-03-2023"/>
        <s v="26-03-2024"/>
        <s v="26-04-2023"/>
        <s v="26-05-2023"/>
        <s v="26-05-2024"/>
        <s v="26-06-2023"/>
        <s v="26-06-2024"/>
        <s v="26-07-2024"/>
        <s v="26-09-2023"/>
        <s v="26-09-2024"/>
        <s v="26-10-2023"/>
        <s v="26-11-2023"/>
        <s v="26-11-2024"/>
        <s v="26-12-2023"/>
        <s v="27-01-2023"/>
        <s v="27-02-2024"/>
        <s v="27-03-2023"/>
        <s v="27-04-2024"/>
        <s v="27-05-2023"/>
        <s v="27-05-2024"/>
        <s v="27-06-2023"/>
        <s v="27-06-2024"/>
        <s v="27-07-2023"/>
        <s v="27-07-2024"/>
        <s v="27-08-2024"/>
        <s v="27-09-2023"/>
        <s v="27-09-2024"/>
        <s v="27-10-2023"/>
        <s v="27-10-2024"/>
        <s v="27-11-2023"/>
        <s v="27-11-2024"/>
        <s v="27-12-2024"/>
        <s v="28-01-2023"/>
        <s v="28-01-2024"/>
        <s v="28-02-2023"/>
        <s v="28-02-2024"/>
        <s v="28-03-2023"/>
        <s v="28-04-2023"/>
        <s v="28-05-2024"/>
        <s v="28-06-2023"/>
        <s v="28-06-2024"/>
        <s v="28-07-2023"/>
        <s v="28-07-2024"/>
        <s v="28-08-2024"/>
        <s v="28-09-2024"/>
        <s v="28-10-2023"/>
        <s v="28-10-2024"/>
        <s v="28-11-2024"/>
        <s v="28-12-2023"/>
        <s v="29-01-2023"/>
        <s v="29-01-2024"/>
        <s v="29-02-2024"/>
        <s v="29-03-2023"/>
        <s v="29-03-2024"/>
        <s v="29-04-2023"/>
        <s v="29-04-2024"/>
        <s v="29-05-2024"/>
        <s v="29-06-2024"/>
        <s v="29-07-2023"/>
        <s v="29-07-2024"/>
        <s v="29-08-2024"/>
        <s v="29-09-2023"/>
        <s v="29-09-2024"/>
        <s v="29-10-2024"/>
        <s v="29-11-2023"/>
        <s v="29-11-2024"/>
        <s v="29-12-2023"/>
        <s v="29-12-2024"/>
        <s v="30-01-2023"/>
        <s v="30-01-2024"/>
        <s v="30-03-2023"/>
        <s v="30-04-2023"/>
        <s v="30-04-2024"/>
        <s v="30-05-2023"/>
        <s v="30-05-2024"/>
        <s v="30-06-2023"/>
        <s v="30-07-2023"/>
        <s v="30-07-2024"/>
        <s v="30-08-2023"/>
        <s v="30-09-2023"/>
        <s v="30-10-2023"/>
        <s v="30-10-2024"/>
        <s v="30-11-2023"/>
        <s v="30-11-2024"/>
        <s v="30-12-2024"/>
        <s v="31-01-2023"/>
        <s v="31-01-2024"/>
        <s v="31-03-2023"/>
        <s v="31-03-2024"/>
        <s v="31-05-2023"/>
        <s v="31-05-2024"/>
        <s v="31-07-2023"/>
        <s v="31-08-2023"/>
        <s v="31-10-2023"/>
        <s v="31-10-2024"/>
        <s v="31-12-2023"/>
        <s v="Grand Total"/>
      </sharedItems>
    </cacheField>
    <cacheField name="Months No." numFmtId="0">
      <sharedItems containsMixedTypes="1" containsNumber="1" containsInteger="1" minValue="1" maxValue="12" count="13">
        <n v="1"/>
        <n v="2"/>
        <n v="3"/>
        <n v="4"/>
        <n v="5"/>
        <n v="6"/>
        <n v="7"/>
        <n v="8"/>
        <n v="9"/>
        <n v="10"/>
        <n v="11"/>
        <n v="12"/>
        <e v="#VALUE!"/>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01"/>
    <s v="Isha"/>
    <x v="0"/>
    <x v="0"/>
    <x v="0"/>
    <n v="7"/>
    <n v="58326"/>
    <x v="0"/>
    <n v="20"/>
    <x v="0"/>
    <x v="0"/>
    <s v="Indore"/>
    <n v="326625.59999999998"/>
    <n v="43047.87"/>
    <x v="0"/>
    <x v="0"/>
  </r>
  <r>
    <n v="102"/>
    <s v="Riya"/>
    <x v="1"/>
    <x v="1"/>
    <x v="1"/>
    <n v="1"/>
    <n v="47641"/>
    <x v="1"/>
    <n v="5"/>
    <x v="0"/>
    <x v="1"/>
    <s v="Bengaluru"/>
    <n v="45258.95"/>
    <n v="11382.05"/>
    <x v="1"/>
    <x v="0"/>
  </r>
  <r>
    <n v="103"/>
    <s v="Rahul"/>
    <x v="2"/>
    <x v="0"/>
    <x v="2"/>
    <n v="4"/>
    <n v="50986"/>
    <x v="2"/>
    <n v="0"/>
    <x v="1"/>
    <x v="1"/>
    <s v="Ahmedabad"/>
    <n v="203944"/>
    <n v="49517.18"/>
    <x v="2"/>
    <x v="0"/>
  </r>
  <r>
    <n v="104"/>
    <s v="Meera"/>
    <x v="0"/>
    <x v="2"/>
    <x v="3"/>
    <n v="3"/>
    <n v="39022"/>
    <x v="3"/>
    <n v="0"/>
    <x v="2"/>
    <x v="2"/>
    <s v="Surat"/>
    <n v="117066"/>
    <n v="10865.6"/>
    <x v="1"/>
    <x v="0"/>
  </r>
  <r>
    <n v="105"/>
    <s v="Rahul"/>
    <x v="1"/>
    <x v="1"/>
    <x v="4"/>
    <n v="6"/>
    <n v="41437"/>
    <x v="4"/>
    <n v="10"/>
    <x v="1"/>
    <x v="0"/>
    <s v="Mumbai"/>
    <n v="223759.8"/>
    <n v="37956.629999999997"/>
    <x v="0"/>
    <x v="0"/>
  </r>
  <r>
    <n v="106"/>
    <s v="Neha"/>
    <x v="2"/>
    <x v="2"/>
    <x v="5"/>
    <n v="8"/>
    <n v="72216"/>
    <x v="5"/>
    <n v="10"/>
    <x v="3"/>
    <x v="3"/>
    <s v="Ahmedabad"/>
    <n v="519955.20000000001"/>
    <n v="50336.2"/>
    <x v="0"/>
    <x v="1"/>
  </r>
  <r>
    <n v="107"/>
    <s v="Isha"/>
    <x v="1"/>
    <x v="0"/>
    <x v="2"/>
    <n v="2"/>
    <n v="37452"/>
    <x v="6"/>
    <n v="10"/>
    <x v="4"/>
    <x v="0"/>
    <s v="Mumbai"/>
    <n v="67413.600000000006"/>
    <n v="12849.25"/>
    <x v="0"/>
    <x v="1"/>
  </r>
  <r>
    <n v="108"/>
    <s v="Meera"/>
    <x v="0"/>
    <x v="2"/>
    <x v="6"/>
    <n v="9"/>
    <n v="73255"/>
    <x v="7"/>
    <n v="5"/>
    <x v="0"/>
    <x v="3"/>
    <s v="Ahmedabad"/>
    <n v="626330.25"/>
    <n v="96363.53"/>
    <x v="0"/>
    <x v="1"/>
  </r>
  <r>
    <n v="109"/>
    <s v="Arjun"/>
    <x v="0"/>
    <x v="0"/>
    <x v="7"/>
    <n v="8"/>
    <n v="22262"/>
    <x v="8"/>
    <n v="15"/>
    <x v="2"/>
    <x v="2"/>
    <s v="Jaipur"/>
    <n v="151381.6"/>
    <n v="29557.14"/>
    <x v="3"/>
    <x v="0"/>
  </r>
  <r>
    <n v="110"/>
    <s v="Neha"/>
    <x v="0"/>
    <x v="0"/>
    <x v="0"/>
    <n v="8"/>
    <n v="29994"/>
    <x v="9"/>
    <n v="0"/>
    <x v="1"/>
    <x v="1"/>
    <s v="Mumbai"/>
    <n v="239952"/>
    <n v="52640.7"/>
    <x v="1"/>
    <x v="1"/>
  </r>
  <r>
    <n v="111"/>
    <s v="Anita"/>
    <x v="3"/>
    <x v="3"/>
    <x v="8"/>
    <n v="5"/>
    <n v="77882"/>
    <x v="10"/>
    <n v="0"/>
    <x v="2"/>
    <x v="2"/>
    <s v="Ahmedabad"/>
    <n v="389410"/>
    <n v="67084.7"/>
    <x v="2"/>
    <x v="1"/>
  </r>
  <r>
    <n v="112"/>
    <s v="Anita"/>
    <x v="0"/>
    <x v="0"/>
    <x v="9"/>
    <n v="6"/>
    <n v="37597"/>
    <x v="11"/>
    <n v="20"/>
    <x v="5"/>
    <x v="3"/>
    <s v="Mumbai"/>
    <n v="180465.6"/>
    <n v="15864.02"/>
    <x v="1"/>
    <x v="2"/>
  </r>
  <r>
    <n v="113"/>
    <s v="Rahul"/>
    <x v="0"/>
    <x v="4"/>
    <x v="10"/>
    <n v="6"/>
    <n v="66252"/>
    <x v="12"/>
    <n v="10"/>
    <x v="2"/>
    <x v="3"/>
    <s v="Ahmedabad"/>
    <n v="357760.8"/>
    <n v="71275.78"/>
    <x v="3"/>
    <x v="0"/>
  </r>
  <r>
    <n v="114"/>
    <s v="Aman"/>
    <x v="1"/>
    <x v="4"/>
    <x v="10"/>
    <n v="7"/>
    <n v="59305"/>
    <x v="13"/>
    <n v="5"/>
    <x v="4"/>
    <x v="3"/>
    <s v="Pune"/>
    <n v="394378.25"/>
    <n v="88029.79"/>
    <x v="3"/>
    <x v="2"/>
  </r>
  <r>
    <n v="115"/>
    <s v="Aman"/>
    <x v="3"/>
    <x v="3"/>
    <x v="8"/>
    <n v="2"/>
    <n v="64888"/>
    <x v="14"/>
    <n v="10"/>
    <x v="3"/>
    <x v="2"/>
    <s v="Bengaluru"/>
    <n v="116798.39999999999"/>
    <n v="19227.009999999998"/>
    <x v="0"/>
    <x v="0"/>
  </r>
  <r>
    <n v="116"/>
    <s v="Meera"/>
    <x v="2"/>
    <x v="2"/>
    <x v="6"/>
    <n v="9"/>
    <n v="70444"/>
    <x v="15"/>
    <n v="0"/>
    <x v="0"/>
    <x v="1"/>
    <s v="Indore"/>
    <n v="633996"/>
    <n v="81182.7"/>
    <x v="2"/>
    <x v="1"/>
  </r>
  <r>
    <n v="117"/>
    <s v="Dev"/>
    <x v="3"/>
    <x v="0"/>
    <x v="7"/>
    <n v="6"/>
    <n v="11104"/>
    <x v="16"/>
    <n v="10"/>
    <x v="4"/>
    <x v="0"/>
    <s v="Mumbai"/>
    <n v="59961.599999999999"/>
    <n v="17725.22"/>
    <x v="2"/>
    <x v="0"/>
  </r>
  <r>
    <n v="118"/>
    <s v="Arjun"/>
    <x v="0"/>
    <x v="1"/>
    <x v="4"/>
    <n v="10"/>
    <n v="6648"/>
    <x v="17"/>
    <n v="20"/>
    <x v="0"/>
    <x v="1"/>
    <s v="Mumbai"/>
    <n v="53184"/>
    <n v="6312.19"/>
    <x v="1"/>
    <x v="1"/>
  </r>
  <r>
    <n v="119"/>
    <s v="Neha"/>
    <x v="0"/>
    <x v="3"/>
    <x v="8"/>
    <n v="5"/>
    <n v="33683"/>
    <x v="18"/>
    <n v="15"/>
    <x v="1"/>
    <x v="0"/>
    <s v="Pune"/>
    <n v="143152.75"/>
    <n v="15940.72"/>
    <x v="3"/>
    <x v="1"/>
  </r>
  <r>
    <n v="120"/>
    <s v="Riya"/>
    <x v="0"/>
    <x v="4"/>
    <x v="10"/>
    <n v="5"/>
    <n v="33345"/>
    <x v="19"/>
    <n v="0"/>
    <x v="3"/>
    <x v="3"/>
    <s v="Pune"/>
    <n v="166725"/>
    <n v="21888.14"/>
    <x v="0"/>
    <x v="0"/>
  </r>
  <r>
    <n v="121"/>
    <s v="Meera"/>
    <x v="0"/>
    <x v="1"/>
    <x v="1"/>
    <n v="6"/>
    <n v="67725"/>
    <x v="20"/>
    <n v="5"/>
    <x v="1"/>
    <x v="1"/>
    <s v="Surat"/>
    <n v="386032.5"/>
    <n v="96150.91"/>
    <x v="1"/>
    <x v="0"/>
  </r>
  <r>
    <n v="122"/>
    <s v="Riya"/>
    <x v="2"/>
    <x v="1"/>
    <x v="1"/>
    <n v="8"/>
    <n v="29710"/>
    <x v="21"/>
    <n v="20"/>
    <x v="1"/>
    <x v="3"/>
    <s v="Pune"/>
    <n v="190144"/>
    <n v="22068.799999999999"/>
    <x v="3"/>
    <x v="0"/>
  </r>
  <r>
    <n v="123"/>
    <s v="Vikas"/>
    <x v="0"/>
    <x v="4"/>
    <x v="11"/>
    <n v="7"/>
    <n v="69942"/>
    <x v="22"/>
    <n v="15"/>
    <x v="1"/>
    <x v="2"/>
    <s v="Bengaluru"/>
    <n v="416154.9"/>
    <n v="112334.14"/>
    <x v="1"/>
    <x v="2"/>
  </r>
  <r>
    <n v="124"/>
    <s v="Rohit"/>
    <x v="3"/>
    <x v="0"/>
    <x v="9"/>
    <n v="3"/>
    <n v="69978"/>
    <x v="23"/>
    <n v="15"/>
    <x v="2"/>
    <x v="1"/>
    <s v="Surat"/>
    <n v="178443.9"/>
    <n v="25374.87"/>
    <x v="0"/>
    <x v="1"/>
  </r>
  <r>
    <n v="125"/>
    <s v="Dev"/>
    <x v="3"/>
    <x v="4"/>
    <x v="10"/>
    <n v="7"/>
    <n v="27719"/>
    <x v="22"/>
    <n v="10"/>
    <x v="5"/>
    <x v="0"/>
    <s v="Bengaluru"/>
    <n v="174629.7"/>
    <n v="22986.69"/>
    <x v="2"/>
    <x v="1"/>
  </r>
  <r>
    <n v="126"/>
    <s v="Pooja"/>
    <x v="3"/>
    <x v="2"/>
    <x v="3"/>
    <n v="2"/>
    <n v="68919"/>
    <x v="24"/>
    <n v="0"/>
    <x v="4"/>
    <x v="1"/>
    <s v="Mumbai"/>
    <n v="137838"/>
    <n v="12587"/>
    <x v="3"/>
    <x v="2"/>
  </r>
  <r>
    <n v="127"/>
    <s v="Vikas"/>
    <x v="0"/>
    <x v="3"/>
    <x v="12"/>
    <n v="9"/>
    <n v="51772"/>
    <x v="25"/>
    <n v="20"/>
    <x v="2"/>
    <x v="1"/>
    <s v="Delhi"/>
    <n v="372758.4"/>
    <n v="29874.93"/>
    <x v="0"/>
    <x v="1"/>
  </r>
  <r>
    <n v="128"/>
    <s v="Neha"/>
    <x v="3"/>
    <x v="4"/>
    <x v="13"/>
    <n v="9"/>
    <n v="46328"/>
    <x v="26"/>
    <n v="10"/>
    <x v="1"/>
    <x v="0"/>
    <s v="Surat"/>
    <n v="375256.8"/>
    <n v="109170.14"/>
    <x v="0"/>
    <x v="2"/>
  </r>
  <r>
    <n v="129"/>
    <s v="Vikas"/>
    <x v="1"/>
    <x v="1"/>
    <x v="14"/>
    <n v="1"/>
    <n v="25242"/>
    <x v="27"/>
    <n v="0"/>
    <x v="0"/>
    <x v="0"/>
    <s v="Surat"/>
    <n v="25242"/>
    <n v="2823.93"/>
    <x v="0"/>
    <x v="2"/>
  </r>
  <r>
    <n v="130"/>
    <s v="Rohit"/>
    <x v="3"/>
    <x v="4"/>
    <x v="10"/>
    <n v="5"/>
    <n v="29070"/>
    <x v="28"/>
    <n v="15"/>
    <x v="2"/>
    <x v="3"/>
    <s v="Indore"/>
    <n v="123547.5"/>
    <n v="18927.57"/>
    <x v="1"/>
    <x v="0"/>
  </r>
  <r>
    <n v="131"/>
    <s v="Isha"/>
    <x v="2"/>
    <x v="3"/>
    <x v="12"/>
    <n v="9"/>
    <n v="63706"/>
    <x v="29"/>
    <n v="20"/>
    <x v="2"/>
    <x v="2"/>
    <s v="Indore"/>
    <n v="458683.2"/>
    <n v="136544.15"/>
    <x v="1"/>
    <x v="0"/>
  </r>
  <r>
    <n v="132"/>
    <s v="Sneha"/>
    <x v="2"/>
    <x v="2"/>
    <x v="6"/>
    <n v="7"/>
    <n v="24720"/>
    <x v="30"/>
    <n v="15"/>
    <x v="0"/>
    <x v="0"/>
    <s v="Mumbai"/>
    <n v="147084"/>
    <n v="29351.87"/>
    <x v="3"/>
    <x v="1"/>
  </r>
  <r>
    <n v="133"/>
    <s v="Karan"/>
    <x v="0"/>
    <x v="2"/>
    <x v="3"/>
    <n v="4"/>
    <n v="4600"/>
    <x v="31"/>
    <n v="15"/>
    <x v="0"/>
    <x v="0"/>
    <s v="Pune"/>
    <n v="15640"/>
    <n v="4630.3100000000004"/>
    <x v="3"/>
    <x v="1"/>
  </r>
  <r>
    <n v="134"/>
    <s v="Dev"/>
    <x v="1"/>
    <x v="2"/>
    <x v="6"/>
    <n v="2"/>
    <n v="79494"/>
    <x v="32"/>
    <n v="5"/>
    <x v="0"/>
    <x v="2"/>
    <s v="Jaipur"/>
    <n v="151038.6"/>
    <n v="34398.78"/>
    <x v="3"/>
    <x v="2"/>
  </r>
  <r>
    <n v="135"/>
    <s v="Neha"/>
    <x v="2"/>
    <x v="4"/>
    <x v="10"/>
    <n v="7"/>
    <n v="14929"/>
    <x v="33"/>
    <n v="0"/>
    <x v="2"/>
    <x v="3"/>
    <s v="Pune"/>
    <n v="104503"/>
    <n v="22136.19"/>
    <x v="1"/>
    <x v="1"/>
  </r>
  <r>
    <n v="136"/>
    <s v="Neha"/>
    <x v="0"/>
    <x v="1"/>
    <x v="14"/>
    <n v="6"/>
    <n v="12972"/>
    <x v="34"/>
    <n v="0"/>
    <x v="1"/>
    <x v="0"/>
    <s v="Delhi"/>
    <n v="77832"/>
    <n v="20062.64"/>
    <x v="3"/>
    <x v="0"/>
  </r>
  <r>
    <n v="137"/>
    <s v="Rohit"/>
    <x v="3"/>
    <x v="0"/>
    <x v="7"/>
    <n v="6"/>
    <n v="63294"/>
    <x v="35"/>
    <n v="15"/>
    <x v="0"/>
    <x v="0"/>
    <s v="Mumbai"/>
    <n v="322799.40000000002"/>
    <n v="32613.7"/>
    <x v="1"/>
    <x v="0"/>
  </r>
  <r>
    <n v="138"/>
    <s v="Priya"/>
    <x v="1"/>
    <x v="0"/>
    <x v="0"/>
    <n v="8"/>
    <n v="38859"/>
    <x v="36"/>
    <n v="20"/>
    <x v="2"/>
    <x v="2"/>
    <s v="Ahmedabad"/>
    <n v="248697.60000000001"/>
    <n v="62646.03"/>
    <x v="1"/>
    <x v="0"/>
  </r>
  <r>
    <n v="139"/>
    <s v="Arjun"/>
    <x v="1"/>
    <x v="1"/>
    <x v="14"/>
    <n v="9"/>
    <n v="4839"/>
    <x v="37"/>
    <n v="5"/>
    <x v="4"/>
    <x v="2"/>
    <s v="Bengaluru"/>
    <n v="41373.449999999997"/>
    <n v="9161.92"/>
    <x v="1"/>
    <x v="0"/>
  </r>
  <r>
    <n v="140"/>
    <s v="Rahul"/>
    <x v="2"/>
    <x v="0"/>
    <x v="2"/>
    <n v="4"/>
    <n v="52113"/>
    <x v="38"/>
    <n v="5"/>
    <x v="3"/>
    <x v="1"/>
    <s v="Mumbai"/>
    <n v="198029.4"/>
    <n v="17647.419999999998"/>
    <x v="1"/>
    <x v="0"/>
  </r>
  <r>
    <n v="141"/>
    <s v="Riya"/>
    <x v="3"/>
    <x v="1"/>
    <x v="14"/>
    <n v="9"/>
    <n v="13380"/>
    <x v="39"/>
    <n v="15"/>
    <x v="2"/>
    <x v="1"/>
    <s v="Mumbai"/>
    <n v="102357"/>
    <n v="17711.52"/>
    <x v="3"/>
    <x v="0"/>
  </r>
  <r>
    <n v="142"/>
    <s v="Pooja"/>
    <x v="3"/>
    <x v="0"/>
    <x v="7"/>
    <n v="8"/>
    <n v="79193"/>
    <x v="40"/>
    <n v="0"/>
    <x v="0"/>
    <x v="0"/>
    <s v="Mumbai"/>
    <n v="633544"/>
    <n v="176363.7"/>
    <x v="2"/>
    <x v="1"/>
  </r>
  <r>
    <n v="143"/>
    <s v="Isha"/>
    <x v="2"/>
    <x v="3"/>
    <x v="15"/>
    <n v="9"/>
    <n v="67591"/>
    <x v="41"/>
    <n v="5"/>
    <x v="4"/>
    <x v="1"/>
    <s v="Indore"/>
    <n v="577903.05000000005"/>
    <n v="146663.62"/>
    <x v="1"/>
    <x v="2"/>
  </r>
  <r>
    <n v="144"/>
    <s v="Rohit"/>
    <x v="2"/>
    <x v="0"/>
    <x v="2"/>
    <n v="4"/>
    <n v="79612"/>
    <x v="42"/>
    <n v="5"/>
    <x v="5"/>
    <x v="3"/>
    <s v="Bengaluru"/>
    <n v="302525.59999999998"/>
    <n v="48322.27"/>
    <x v="1"/>
    <x v="0"/>
  </r>
  <r>
    <n v="145"/>
    <s v="Neha"/>
    <x v="3"/>
    <x v="4"/>
    <x v="10"/>
    <n v="9"/>
    <n v="73112"/>
    <x v="43"/>
    <n v="5"/>
    <x v="2"/>
    <x v="2"/>
    <s v="Pune"/>
    <n v="625107.6"/>
    <n v="149812.88"/>
    <x v="3"/>
    <x v="1"/>
  </r>
  <r>
    <n v="146"/>
    <s v="Rahul"/>
    <x v="1"/>
    <x v="2"/>
    <x v="3"/>
    <n v="8"/>
    <n v="26181"/>
    <x v="44"/>
    <n v="0"/>
    <x v="1"/>
    <x v="0"/>
    <s v="Delhi"/>
    <n v="209448"/>
    <n v="43378.46"/>
    <x v="1"/>
    <x v="2"/>
  </r>
  <r>
    <n v="147"/>
    <s v="Sneha"/>
    <x v="1"/>
    <x v="0"/>
    <x v="2"/>
    <n v="10"/>
    <n v="36919"/>
    <x v="45"/>
    <n v="20"/>
    <x v="4"/>
    <x v="3"/>
    <s v="Ahmedabad"/>
    <n v="295352"/>
    <n v="45518.1"/>
    <x v="0"/>
    <x v="2"/>
  </r>
  <r>
    <n v="148"/>
    <s v="Anita"/>
    <x v="2"/>
    <x v="1"/>
    <x v="4"/>
    <n v="2"/>
    <n v="12237"/>
    <x v="46"/>
    <n v="0"/>
    <x v="4"/>
    <x v="0"/>
    <s v="Indore"/>
    <n v="24474"/>
    <n v="3837.15"/>
    <x v="1"/>
    <x v="0"/>
  </r>
  <r>
    <n v="149"/>
    <s v="Karan"/>
    <x v="0"/>
    <x v="2"/>
    <x v="6"/>
    <n v="2"/>
    <n v="41823"/>
    <x v="47"/>
    <n v="10"/>
    <x v="2"/>
    <x v="3"/>
    <s v="Pune"/>
    <n v="75281.399999999994"/>
    <n v="10419.280000000001"/>
    <x v="1"/>
    <x v="1"/>
  </r>
  <r>
    <n v="150"/>
    <s v="Priya"/>
    <x v="0"/>
    <x v="0"/>
    <x v="2"/>
    <n v="8"/>
    <n v="77443"/>
    <x v="48"/>
    <n v="10"/>
    <x v="0"/>
    <x v="2"/>
    <s v="Indore"/>
    <n v="557589.6"/>
    <n v="148860.09"/>
    <x v="3"/>
    <x v="2"/>
  </r>
  <r>
    <n v="151"/>
    <s v="Neha"/>
    <x v="2"/>
    <x v="1"/>
    <x v="1"/>
    <n v="3"/>
    <n v="39586"/>
    <x v="49"/>
    <n v="15"/>
    <x v="4"/>
    <x v="1"/>
    <s v="Ahmedabad"/>
    <n v="100944.3"/>
    <n v="24726.14"/>
    <x v="2"/>
    <x v="2"/>
  </r>
  <r>
    <n v="152"/>
    <s v="Anita"/>
    <x v="0"/>
    <x v="4"/>
    <x v="11"/>
    <n v="8"/>
    <n v="46910"/>
    <x v="50"/>
    <n v="20"/>
    <x v="1"/>
    <x v="2"/>
    <s v="Ahmedabad"/>
    <n v="300224"/>
    <n v="65547.600000000006"/>
    <x v="0"/>
    <x v="2"/>
  </r>
  <r>
    <n v="153"/>
    <s v="Sneha"/>
    <x v="2"/>
    <x v="2"/>
    <x v="6"/>
    <n v="4"/>
    <n v="20372"/>
    <x v="51"/>
    <n v="15"/>
    <x v="1"/>
    <x v="2"/>
    <s v="Surat"/>
    <n v="69264.800000000003"/>
    <n v="19720.88"/>
    <x v="0"/>
    <x v="0"/>
  </r>
  <r>
    <n v="154"/>
    <s v="Karan"/>
    <x v="1"/>
    <x v="3"/>
    <x v="8"/>
    <n v="6"/>
    <n v="78026"/>
    <x v="52"/>
    <n v="5"/>
    <x v="3"/>
    <x v="1"/>
    <s v="Pune"/>
    <n v="444748.2"/>
    <n v="58554.2"/>
    <x v="3"/>
    <x v="1"/>
  </r>
  <r>
    <n v="155"/>
    <s v="Karan"/>
    <x v="3"/>
    <x v="4"/>
    <x v="10"/>
    <n v="1"/>
    <n v="45956"/>
    <x v="53"/>
    <n v="10"/>
    <x v="2"/>
    <x v="1"/>
    <s v="Jaipur"/>
    <n v="41360.400000000001"/>
    <n v="3697.85"/>
    <x v="1"/>
    <x v="2"/>
  </r>
  <r>
    <n v="156"/>
    <s v="Aman"/>
    <x v="0"/>
    <x v="4"/>
    <x v="11"/>
    <n v="9"/>
    <n v="31147"/>
    <x v="54"/>
    <n v="10"/>
    <x v="2"/>
    <x v="1"/>
    <s v="Mumbai"/>
    <n v="252290.7"/>
    <n v="20213.96"/>
    <x v="1"/>
    <x v="1"/>
  </r>
  <r>
    <n v="157"/>
    <s v="Karan"/>
    <x v="3"/>
    <x v="2"/>
    <x v="6"/>
    <n v="6"/>
    <n v="73359"/>
    <x v="55"/>
    <n v="20"/>
    <x v="3"/>
    <x v="3"/>
    <s v="Indore"/>
    <n v="352123.2"/>
    <n v="67477.279999999999"/>
    <x v="2"/>
    <x v="0"/>
  </r>
  <r>
    <n v="158"/>
    <s v="Priya"/>
    <x v="1"/>
    <x v="3"/>
    <x v="12"/>
    <n v="8"/>
    <n v="10344"/>
    <x v="56"/>
    <n v="0"/>
    <x v="3"/>
    <x v="2"/>
    <s v="Indore"/>
    <n v="82752"/>
    <n v="15921.75"/>
    <x v="2"/>
    <x v="1"/>
  </r>
  <r>
    <n v="159"/>
    <s v="Arjun"/>
    <x v="2"/>
    <x v="1"/>
    <x v="1"/>
    <n v="1"/>
    <n v="61541"/>
    <x v="57"/>
    <n v="20"/>
    <x v="4"/>
    <x v="3"/>
    <s v="Indore"/>
    <n v="49232.800000000003"/>
    <n v="8931.8700000000008"/>
    <x v="3"/>
    <x v="0"/>
  </r>
  <r>
    <n v="160"/>
    <s v="Neha"/>
    <x v="2"/>
    <x v="4"/>
    <x v="13"/>
    <n v="3"/>
    <n v="20853"/>
    <x v="58"/>
    <n v="10"/>
    <x v="5"/>
    <x v="1"/>
    <s v="Jaipur"/>
    <n v="56303.1"/>
    <n v="15257.63"/>
    <x v="2"/>
    <x v="2"/>
  </r>
  <r>
    <n v="161"/>
    <s v="Priya"/>
    <x v="1"/>
    <x v="1"/>
    <x v="4"/>
    <n v="10"/>
    <n v="35976"/>
    <x v="59"/>
    <n v="15"/>
    <x v="4"/>
    <x v="0"/>
    <s v="Mumbai"/>
    <n v="305796"/>
    <n v="51974.17"/>
    <x v="2"/>
    <x v="0"/>
  </r>
  <r>
    <n v="162"/>
    <s v="Isha"/>
    <x v="2"/>
    <x v="1"/>
    <x v="14"/>
    <n v="4"/>
    <n v="59336"/>
    <x v="60"/>
    <n v="10"/>
    <x v="3"/>
    <x v="3"/>
    <s v="Ahmedabad"/>
    <n v="213609.60000000001"/>
    <n v="23880.74"/>
    <x v="0"/>
    <x v="0"/>
  </r>
  <r>
    <n v="163"/>
    <s v="Neha"/>
    <x v="0"/>
    <x v="2"/>
    <x v="3"/>
    <n v="10"/>
    <n v="70676"/>
    <x v="61"/>
    <n v="20"/>
    <x v="1"/>
    <x v="3"/>
    <s v="Indore"/>
    <n v="565408"/>
    <n v="112695.38"/>
    <x v="1"/>
    <x v="1"/>
  </r>
  <r>
    <n v="164"/>
    <s v="Rohit"/>
    <x v="1"/>
    <x v="0"/>
    <x v="0"/>
    <n v="1"/>
    <n v="5311"/>
    <x v="62"/>
    <n v="5"/>
    <x v="2"/>
    <x v="3"/>
    <s v="Mumbai"/>
    <n v="5045.45"/>
    <n v="1096.5"/>
    <x v="3"/>
    <x v="2"/>
  </r>
  <r>
    <n v="165"/>
    <s v="Neha"/>
    <x v="1"/>
    <x v="0"/>
    <x v="9"/>
    <n v="9"/>
    <n v="72541"/>
    <x v="63"/>
    <n v="15"/>
    <x v="2"/>
    <x v="3"/>
    <s v="Mumbai"/>
    <n v="554938.65"/>
    <n v="99375.360000000001"/>
    <x v="1"/>
    <x v="2"/>
  </r>
  <r>
    <n v="166"/>
    <s v="Priya"/>
    <x v="2"/>
    <x v="0"/>
    <x v="9"/>
    <n v="2"/>
    <n v="69922"/>
    <x v="64"/>
    <n v="15"/>
    <x v="0"/>
    <x v="3"/>
    <s v="Bengaluru"/>
    <n v="118867.4"/>
    <n v="30429.54"/>
    <x v="0"/>
    <x v="0"/>
  </r>
  <r>
    <n v="167"/>
    <s v="Aman"/>
    <x v="3"/>
    <x v="0"/>
    <x v="9"/>
    <n v="8"/>
    <n v="48736"/>
    <x v="65"/>
    <n v="20"/>
    <x v="4"/>
    <x v="0"/>
    <s v="Indore"/>
    <n v="311910.40000000002"/>
    <n v="89288.88"/>
    <x v="2"/>
    <x v="0"/>
  </r>
  <r>
    <n v="168"/>
    <s v="Karan"/>
    <x v="1"/>
    <x v="0"/>
    <x v="2"/>
    <n v="4"/>
    <n v="24243"/>
    <x v="66"/>
    <n v="10"/>
    <x v="5"/>
    <x v="2"/>
    <s v="Mumbai"/>
    <n v="87274.8"/>
    <n v="21571.06"/>
    <x v="3"/>
    <x v="0"/>
  </r>
  <r>
    <n v="169"/>
    <s v="Priya"/>
    <x v="2"/>
    <x v="4"/>
    <x v="11"/>
    <n v="3"/>
    <n v="40641"/>
    <x v="67"/>
    <n v="0"/>
    <x v="5"/>
    <x v="3"/>
    <s v="Surat"/>
    <n v="121923"/>
    <n v="25782.69"/>
    <x v="3"/>
    <x v="1"/>
  </r>
  <r>
    <n v="170"/>
    <s v="Aman"/>
    <x v="3"/>
    <x v="1"/>
    <x v="4"/>
    <n v="3"/>
    <n v="78739"/>
    <x v="68"/>
    <n v="20"/>
    <x v="2"/>
    <x v="3"/>
    <s v="Mumbai"/>
    <n v="188973.6"/>
    <n v="56277.2"/>
    <x v="2"/>
    <x v="2"/>
  </r>
  <r>
    <n v="171"/>
    <s v="Riya"/>
    <x v="2"/>
    <x v="3"/>
    <x v="8"/>
    <n v="7"/>
    <n v="73905"/>
    <x v="69"/>
    <n v="10"/>
    <x v="0"/>
    <x v="1"/>
    <s v="Pune"/>
    <n v="465601.5"/>
    <n v="70348.88"/>
    <x v="2"/>
    <x v="2"/>
  </r>
  <r>
    <n v="172"/>
    <s v="Anita"/>
    <x v="1"/>
    <x v="2"/>
    <x v="3"/>
    <n v="7"/>
    <n v="26256"/>
    <x v="70"/>
    <n v="20"/>
    <x v="4"/>
    <x v="1"/>
    <s v="Mumbai"/>
    <n v="147033.60000000001"/>
    <n v="42407.99"/>
    <x v="1"/>
    <x v="1"/>
  </r>
  <r>
    <n v="173"/>
    <s v="Priya"/>
    <x v="2"/>
    <x v="3"/>
    <x v="12"/>
    <n v="6"/>
    <n v="14874"/>
    <x v="71"/>
    <n v="10"/>
    <x v="2"/>
    <x v="1"/>
    <s v="Jaipur"/>
    <n v="80319.600000000006"/>
    <n v="16583.28"/>
    <x v="1"/>
    <x v="0"/>
  </r>
  <r>
    <n v="174"/>
    <s v="Isha"/>
    <x v="1"/>
    <x v="1"/>
    <x v="1"/>
    <n v="1"/>
    <n v="24094"/>
    <x v="32"/>
    <n v="15"/>
    <x v="5"/>
    <x v="0"/>
    <s v="Delhi"/>
    <n v="20479.900000000001"/>
    <n v="5892.7"/>
    <x v="2"/>
    <x v="2"/>
  </r>
  <r>
    <n v="175"/>
    <s v="Meera"/>
    <x v="3"/>
    <x v="0"/>
    <x v="0"/>
    <n v="10"/>
    <n v="36475"/>
    <x v="72"/>
    <n v="5"/>
    <x v="1"/>
    <x v="0"/>
    <s v="Pune"/>
    <n v="346512.5"/>
    <n v="27992.71"/>
    <x v="2"/>
    <x v="0"/>
  </r>
  <r>
    <n v="176"/>
    <s v="Rohit"/>
    <x v="2"/>
    <x v="2"/>
    <x v="3"/>
    <n v="6"/>
    <n v="17495"/>
    <x v="73"/>
    <n v="10"/>
    <x v="0"/>
    <x v="0"/>
    <s v="Mumbai"/>
    <n v="94473"/>
    <n v="20255.38"/>
    <x v="1"/>
    <x v="2"/>
  </r>
  <r>
    <n v="177"/>
    <s v="Anita"/>
    <x v="2"/>
    <x v="0"/>
    <x v="7"/>
    <n v="9"/>
    <n v="38379"/>
    <x v="74"/>
    <n v="20"/>
    <x v="4"/>
    <x v="1"/>
    <s v="Pune"/>
    <n v="276328.8"/>
    <n v="41330.28"/>
    <x v="3"/>
    <x v="1"/>
  </r>
  <r>
    <n v="178"/>
    <s v="Karan"/>
    <x v="0"/>
    <x v="2"/>
    <x v="5"/>
    <n v="3"/>
    <n v="46198"/>
    <x v="75"/>
    <n v="5"/>
    <x v="4"/>
    <x v="1"/>
    <s v="Bengaluru"/>
    <n v="131664.29999999999"/>
    <n v="12128.46"/>
    <x v="3"/>
    <x v="1"/>
  </r>
  <r>
    <n v="179"/>
    <s v="Rohit"/>
    <x v="1"/>
    <x v="3"/>
    <x v="8"/>
    <n v="9"/>
    <n v="53438"/>
    <x v="76"/>
    <n v="20"/>
    <x v="5"/>
    <x v="3"/>
    <s v="Indore"/>
    <n v="384753.6"/>
    <n v="44431.35"/>
    <x v="1"/>
    <x v="1"/>
  </r>
  <r>
    <n v="180"/>
    <s v="Pooja"/>
    <x v="3"/>
    <x v="1"/>
    <x v="4"/>
    <n v="3"/>
    <n v="27939"/>
    <x v="77"/>
    <n v="20"/>
    <x v="1"/>
    <x v="0"/>
    <s v="Delhi"/>
    <n v="67053.600000000006"/>
    <n v="16896.919999999998"/>
    <x v="1"/>
    <x v="2"/>
  </r>
  <r>
    <n v="181"/>
    <s v="Sneha"/>
    <x v="1"/>
    <x v="1"/>
    <x v="14"/>
    <n v="7"/>
    <n v="18215"/>
    <x v="78"/>
    <n v="5"/>
    <x v="2"/>
    <x v="1"/>
    <s v="Jaipur"/>
    <n v="121129.75"/>
    <n v="27877.18"/>
    <x v="2"/>
    <x v="0"/>
  </r>
  <r>
    <n v="182"/>
    <s v="Isha"/>
    <x v="0"/>
    <x v="0"/>
    <x v="2"/>
    <n v="6"/>
    <n v="7126"/>
    <x v="79"/>
    <n v="20"/>
    <x v="0"/>
    <x v="0"/>
    <s v="Pune"/>
    <n v="34204.800000000003"/>
    <n v="7250.13"/>
    <x v="2"/>
    <x v="1"/>
  </r>
  <r>
    <n v="183"/>
    <s v="Meera"/>
    <x v="1"/>
    <x v="2"/>
    <x v="5"/>
    <n v="6"/>
    <n v="16140"/>
    <x v="80"/>
    <n v="10"/>
    <x v="5"/>
    <x v="0"/>
    <s v="Delhi"/>
    <n v="87156"/>
    <n v="22178.74"/>
    <x v="2"/>
    <x v="1"/>
  </r>
  <r>
    <n v="184"/>
    <s v="Aman"/>
    <x v="2"/>
    <x v="1"/>
    <x v="4"/>
    <n v="1"/>
    <n v="67950"/>
    <x v="81"/>
    <n v="0"/>
    <x v="3"/>
    <x v="1"/>
    <s v="Delhi"/>
    <n v="67950"/>
    <n v="13385.17"/>
    <x v="2"/>
    <x v="2"/>
  </r>
  <r>
    <n v="185"/>
    <s v="Karan"/>
    <x v="1"/>
    <x v="1"/>
    <x v="4"/>
    <n v="1"/>
    <n v="531"/>
    <x v="82"/>
    <n v="15"/>
    <x v="3"/>
    <x v="0"/>
    <s v="Surat"/>
    <n v="451.35"/>
    <n v="90.87"/>
    <x v="0"/>
    <x v="0"/>
  </r>
  <r>
    <n v="186"/>
    <s v="Arjun"/>
    <x v="2"/>
    <x v="0"/>
    <x v="7"/>
    <n v="5"/>
    <n v="20290"/>
    <x v="83"/>
    <n v="15"/>
    <x v="4"/>
    <x v="1"/>
    <s v="Bengaluru"/>
    <n v="86232.5"/>
    <n v="13182.75"/>
    <x v="2"/>
    <x v="2"/>
  </r>
  <r>
    <n v="187"/>
    <s v="Anita"/>
    <x v="1"/>
    <x v="4"/>
    <x v="11"/>
    <n v="1"/>
    <n v="26462"/>
    <x v="55"/>
    <n v="0"/>
    <x v="1"/>
    <x v="0"/>
    <s v="Surat"/>
    <n v="26462"/>
    <n v="7508"/>
    <x v="1"/>
    <x v="1"/>
  </r>
  <r>
    <n v="188"/>
    <s v="Riya"/>
    <x v="0"/>
    <x v="2"/>
    <x v="5"/>
    <n v="3"/>
    <n v="8900"/>
    <x v="0"/>
    <n v="5"/>
    <x v="1"/>
    <x v="1"/>
    <s v="Bengaluru"/>
    <n v="25365"/>
    <n v="6316.92"/>
    <x v="1"/>
    <x v="1"/>
  </r>
  <r>
    <n v="189"/>
    <s v="Rohit"/>
    <x v="3"/>
    <x v="1"/>
    <x v="14"/>
    <n v="9"/>
    <n v="23010"/>
    <x v="84"/>
    <n v="20"/>
    <x v="4"/>
    <x v="3"/>
    <s v="Ahmedabad"/>
    <n v="165672"/>
    <n v="14301.12"/>
    <x v="3"/>
    <x v="2"/>
  </r>
  <r>
    <n v="190"/>
    <s v="Isha"/>
    <x v="3"/>
    <x v="2"/>
    <x v="5"/>
    <n v="2"/>
    <n v="50188"/>
    <x v="85"/>
    <n v="0"/>
    <x v="0"/>
    <x v="2"/>
    <s v="Pune"/>
    <n v="100376"/>
    <n v="21799"/>
    <x v="2"/>
    <x v="2"/>
  </r>
  <r>
    <n v="191"/>
    <s v="Neha"/>
    <x v="2"/>
    <x v="2"/>
    <x v="5"/>
    <n v="4"/>
    <n v="68903"/>
    <x v="86"/>
    <n v="10"/>
    <x v="3"/>
    <x v="2"/>
    <s v="Jaipur"/>
    <n v="248050.8"/>
    <n v="46621.75"/>
    <x v="1"/>
    <x v="2"/>
  </r>
  <r>
    <n v="192"/>
    <s v="Dev"/>
    <x v="0"/>
    <x v="0"/>
    <x v="2"/>
    <n v="2"/>
    <n v="68338"/>
    <x v="87"/>
    <n v="0"/>
    <x v="0"/>
    <x v="2"/>
    <s v="Mumbai"/>
    <n v="136676"/>
    <n v="18991.43"/>
    <x v="2"/>
    <x v="0"/>
  </r>
  <r>
    <n v="193"/>
    <s v="Arjun"/>
    <x v="0"/>
    <x v="1"/>
    <x v="14"/>
    <n v="2"/>
    <n v="75659"/>
    <x v="88"/>
    <n v="15"/>
    <x v="5"/>
    <x v="1"/>
    <s v="Mumbai"/>
    <n v="128620.3"/>
    <n v="16604.27"/>
    <x v="3"/>
    <x v="2"/>
  </r>
  <r>
    <n v="194"/>
    <s v="Riya"/>
    <x v="1"/>
    <x v="4"/>
    <x v="13"/>
    <n v="8"/>
    <n v="900"/>
    <x v="89"/>
    <n v="15"/>
    <x v="3"/>
    <x v="2"/>
    <s v="Delhi"/>
    <n v="6120"/>
    <n v="825.74"/>
    <x v="1"/>
    <x v="0"/>
  </r>
  <r>
    <n v="195"/>
    <s v="Isha"/>
    <x v="0"/>
    <x v="4"/>
    <x v="11"/>
    <n v="8"/>
    <n v="28069"/>
    <x v="90"/>
    <n v="10"/>
    <x v="5"/>
    <x v="3"/>
    <s v="Surat"/>
    <n v="202096.8"/>
    <n v="49761.02"/>
    <x v="1"/>
    <x v="1"/>
  </r>
  <r>
    <n v="196"/>
    <s v="Rahul"/>
    <x v="1"/>
    <x v="0"/>
    <x v="0"/>
    <n v="2"/>
    <n v="67551"/>
    <x v="91"/>
    <n v="10"/>
    <x v="0"/>
    <x v="2"/>
    <s v="Ahmedabad"/>
    <n v="121591.8"/>
    <n v="13046.01"/>
    <x v="1"/>
    <x v="2"/>
  </r>
  <r>
    <n v="197"/>
    <s v="Pooja"/>
    <x v="3"/>
    <x v="3"/>
    <x v="15"/>
    <n v="5"/>
    <n v="54669"/>
    <x v="84"/>
    <n v="20"/>
    <x v="0"/>
    <x v="2"/>
    <s v="Ahmedabad"/>
    <n v="218676"/>
    <n v="62244.53"/>
    <x v="0"/>
    <x v="0"/>
  </r>
  <r>
    <n v="198"/>
    <s v="Meera"/>
    <x v="3"/>
    <x v="0"/>
    <x v="7"/>
    <n v="10"/>
    <n v="10436"/>
    <x v="92"/>
    <n v="20"/>
    <x v="0"/>
    <x v="1"/>
    <s v="Ahmedabad"/>
    <n v="83488"/>
    <n v="23380.15"/>
    <x v="0"/>
    <x v="2"/>
  </r>
  <r>
    <n v="199"/>
    <s v="Rahul"/>
    <x v="0"/>
    <x v="3"/>
    <x v="12"/>
    <n v="10"/>
    <n v="36097"/>
    <x v="93"/>
    <n v="20"/>
    <x v="1"/>
    <x v="0"/>
    <s v="Jaipur"/>
    <n v="288776"/>
    <n v="53216.95"/>
    <x v="1"/>
    <x v="0"/>
  </r>
  <r>
    <n v="200"/>
    <s v="Neha"/>
    <x v="1"/>
    <x v="0"/>
    <x v="9"/>
    <n v="2"/>
    <n v="38863"/>
    <x v="94"/>
    <n v="20"/>
    <x v="4"/>
    <x v="3"/>
    <s v="Jaipur"/>
    <n v="62180.800000000003"/>
    <n v="10719.04"/>
    <x v="1"/>
    <x v="1"/>
  </r>
  <r>
    <n v="201"/>
    <s v="Vikas"/>
    <x v="3"/>
    <x v="0"/>
    <x v="2"/>
    <n v="6"/>
    <n v="69969"/>
    <x v="95"/>
    <n v="10"/>
    <x v="2"/>
    <x v="1"/>
    <s v="Mumbai"/>
    <n v="377832.6"/>
    <n v="95633.76"/>
    <x v="3"/>
    <x v="0"/>
  </r>
  <r>
    <n v="202"/>
    <s v="Priya"/>
    <x v="1"/>
    <x v="0"/>
    <x v="2"/>
    <n v="6"/>
    <n v="8551"/>
    <x v="96"/>
    <n v="0"/>
    <x v="2"/>
    <x v="1"/>
    <s v="Mumbai"/>
    <n v="51306"/>
    <n v="14663.54"/>
    <x v="2"/>
    <x v="0"/>
  </r>
  <r>
    <n v="203"/>
    <s v="Anita"/>
    <x v="1"/>
    <x v="0"/>
    <x v="7"/>
    <n v="1"/>
    <n v="53443"/>
    <x v="97"/>
    <n v="10"/>
    <x v="5"/>
    <x v="3"/>
    <s v="Ahmedabad"/>
    <n v="48098.7"/>
    <n v="6135.91"/>
    <x v="3"/>
    <x v="2"/>
  </r>
  <r>
    <n v="204"/>
    <s v="Isha"/>
    <x v="2"/>
    <x v="4"/>
    <x v="13"/>
    <n v="6"/>
    <n v="71557"/>
    <x v="98"/>
    <n v="20"/>
    <x v="2"/>
    <x v="3"/>
    <s v="Pune"/>
    <n v="343473.6"/>
    <n v="62231.88"/>
    <x v="0"/>
    <x v="1"/>
  </r>
  <r>
    <n v="205"/>
    <s v="Vikas"/>
    <x v="0"/>
    <x v="1"/>
    <x v="14"/>
    <n v="3"/>
    <n v="9212"/>
    <x v="99"/>
    <n v="20"/>
    <x v="3"/>
    <x v="3"/>
    <s v="Indore"/>
    <n v="22108.799999999999"/>
    <n v="5304.39"/>
    <x v="3"/>
    <x v="1"/>
  </r>
  <r>
    <n v="206"/>
    <s v="Neha"/>
    <x v="0"/>
    <x v="2"/>
    <x v="3"/>
    <n v="6"/>
    <n v="53653"/>
    <x v="100"/>
    <n v="0"/>
    <x v="0"/>
    <x v="0"/>
    <s v="Indore"/>
    <n v="321918"/>
    <n v="44359.26"/>
    <x v="0"/>
    <x v="1"/>
  </r>
  <r>
    <n v="207"/>
    <s v="Neha"/>
    <x v="2"/>
    <x v="0"/>
    <x v="0"/>
    <n v="6"/>
    <n v="43695"/>
    <x v="101"/>
    <n v="20"/>
    <x v="4"/>
    <x v="2"/>
    <s v="Surat"/>
    <n v="209736"/>
    <n v="28783.19"/>
    <x v="1"/>
    <x v="1"/>
  </r>
  <r>
    <n v="208"/>
    <s v="Sneha"/>
    <x v="1"/>
    <x v="2"/>
    <x v="3"/>
    <n v="2"/>
    <n v="62431"/>
    <x v="102"/>
    <n v="20"/>
    <x v="2"/>
    <x v="0"/>
    <s v="Bengaluru"/>
    <n v="99889.600000000006"/>
    <n v="27072.77"/>
    <x v="0"/>
    <x v="0"/>
  </r>
  <r>
    <n v="209"/>
    <s v="Neha"/>
    <x v="0"/>
    <x v="0"/>
    <x v="9"/>
    <n v="6"/>
    <n v="35416"/>
    <x v="103"/>
    <n v="5"/>
    <x v="0"/>
    <x v="0"/>
    <s v="Ahmedabad"/>
    <n v="201871.2"/>
    <n v="48474.05"/>
    <x v="1"/>
    <x v="0"/>
  </r>
  <r>
    <n v="210"/>
    <s v="Meera"/>
    <x v="0"/>
    <x v="0"/>
    <x v="7"/>
    <n v="8"/>
    <n v="74647"/>
    <x v="69"/>
    <n v="5"/>
    <x v="1"/>
    <x v="2"/>
    <s v="Ahmedabad"/>
    <n v="567317.19999999995"/>
    <n v="61811.09"/>
    <x v="2"/>
    <x v="0"/>
  </r>
  <r>
    <n v="211"/>
    <s v="Riya"/>
    <x v="2"/>
    <x v="3"/>
    <x v="12"/>
    <n v="4"/>
    <n v="4204"/>
    <x v="104"/>
    <n v="5"/>
    <x v="4"/>
    <x v="3"/>
    <s v="Mumbai"/>
    <n v="15975.2"/>
    <n v="2847.81"/>
    <x v="1"/>
    <x v="2"/>
  </r>
  <r>
    <n v="212"/>
    <s v="Rohit"/>
    <x v="3"/>
    <x v="3"/>
    <x v="15"/>
    <n v="5"/>
    <n v="5070"/>
    <x v="105"/>
    <n v="10"/>
    <x v="2"/>
    <x v="3"/>
    <s v="Indore"/>
    <n v="22815"/>
    <n v="5839.34"/>
    <x v="1"/>
    <x v="0"/>
  </r>
  <r>
    <n v="213"/>
    <s v="Karan"/>
    <x v="2"/>
    <x v="1"/>
    <x v="4"/>
    <n v="7"/>
    <n v="56625"/>
    <x v="106"/>
    <n v="15"/>
    <x v="2"/>
    <x v="2"/>
    <s v="Pune"/>
    <n v="336918.75"/>
    <n v="81905"/>
    <x v="1"/>
    <x v="0"/>
  </r>
  <r>
    <n v="214"/>
    <s v="Priya"/>
    <x v="2"/>
    <x v="3"/>
    <x v="15"/>
    <n v="1"/>
    <n v="56500"/>
    <x v="107"/>
    <n v="10"/>
    <x v="3"/>
    <x v="1"/>
    <s v="Surat"/>
    <n v="50850"/>
    <n v="8605.74"/>
    <x v="0"/>
    <x v="0"/>
  </r>
  <r>
    <n v="215"/>
    <s v="Rahul"/>
    <x v="0"/>
    <x v="1"/>
    <x v="14"/>
    <n v="5"/>
    <n v="42629"/>
    <x v="108"/>
    <n v="10"/>
    <x v="2"/>
    <x v="0"/>
    <s v="Surat"/>
    <n v="191830.5"/>
    <n v="30520.91"/>
    <x v="2"/>
    <x v="1"/>
  </r>
  <r>
    <n v="216"/>
    <s v="Sneha"/>
    <x v="0"/>
    <x v="0"/>
    <x v="0"/>
    <n v="5"/>
    <n v="26799"/>
    <x v="109"/>
    <n v="0"/>
    <x v="1"/>
    <x v="3"/>
    <s v="Jaipur"/>
    <n v="133995"/>
    <n v="22959.919999999998"/>
    <x v="2"/>
    <x v="2"/>
  </r>
  <r>
    <n v="217"/>
    <s v="Anita"/>
    <x v="3"/>
    <x v="3"/>
    <x v="12"/>
    <n v="8"/>
    <n v="71060"/>
    <x v="110"/>
    <n v="20"/>
    <x v="2"/>
    <x v="1"/>
    <s v="Pune"/>
    <n v="454784"/>
    <n v="114712.58"/>
    <x v="2"/>
    <x v="0"/>
  </r>
  <r>
    <n v="218"/>
    <s v="Arjun"/>
    <x v="1"/>
    <x v="2"/>
    <x v="6"/>
    <n v="6"/>
    <n v="43862"/>
    <x v="14"/>
    <n v="20"/>
    <x v="3"/>
    <x v="2"/>
    <s v="Indore"/>
    <n v="210537.60000000001"/>
    <n v="62824.6"/>
    <x v="1"/>
    <x v="1"/>
  </r>
  <r>
    <n v="219"/>
    <s v="Karan"/>
    <x v="0"/>
    <x v="0"/>
    <x v="9"/>
    <n v="6"/>
    <n v="22711"/>
    <x v="111"/>
    <n v="0"/>
    <x v="4"/>
    <x v="1"/>
    <s v="Jaipur"/>
    <n v="136266"/>
    <n v="34729.1"/>
    <x v="0"/>
    <x v="0"/>
  </r>
  <r>
    <n v="220"/>
    <s v="Aman"/>
    <x v="3"/>
    <x v="2"/>
    <x v="6"/>
    <n v="2"/>
    <n v="36737"/>
    <x v="92"/>
    <n v="20"/>
    <x v="5"/>
    <x v="3"/>
    <s v="Delhi"/>
    <n v="58779.199999999997"/>
    <n v="13388.72"/>
    <x v="3"/>
    <x v="1"/>
  </r>
  <r>
    <n v="221"/>
    <s v="Aman"/>
    <x v="0"/>
    <x v="2"/>
    <x v="6"/>
    <n v="10"/>
    <n v="62459"/>
    <x v="112"/>
    <n v="10"/>
    <x v="5"/>
    <x v="1"/>
    <s v="Delhi"/>
    <n v="562131"/>
    <n v="78649.34"/>
    <x v="2"/>
    <x v="2"/>
  </r>
  <r>
    <n v="222"/>
    <s v="Meera"/>
    <x v="2"/>
    <x v="1"/>
    <x v="14"/>
    <n v="8"/>
    <n v="39649"/>
    <x v="113"/>
    <n v="20"/>
    <x v="1"/>
    <x v="2"/>
    <s v="Surat"/>
    <n v="253753.60000000001"/>
    <n v="56270.13"/>
    <x v="2"/>
    <x v="1"/>
  </r>
  <r>
    <n v="223"/>
    <s v="Vikas"/>
    <x v="3"/>
    <x v="3"/>
    <x v="15"/>
    <n v="1"/>
    <n v="62119"/>
    <x v="114"/>
    <n v="5"/>
    <x v="4"/>
    <x v="3"/>
    <s v="Mumbai"/>
    <n v="59013.05"/>
    <n v="17465.439999999999"/>
    <x v="1"/>
    <x v="0"/>
  </r>
  <r>
    <n v="224"/>
    <s v="Anita"/>
    <x v="0"/>
    <x v="0"/>
    <x v="9"/>
    <n v="4"/>
    <n v="14465"/>
    <x v="115"/>
    <n v="5"/>
    <x v="1"/>
    <x v="2"/>
    <s v="Surat"/>
    <n v="54967"/>
    <n v="11041.32"/>
    <x v="1"/>
    <x v="1"/>
  </r>
  <r>
    <n v="225"/>
    <s v="Dev"/>
    <x v="2"/>
    <x v="2"/>
    <x v="5"/>
    <n v="2"/>
    <n v="79491"/>
    <x v="116"/>
    <n v="10"/>
    <x v="1"/>
    <x v="3"/>
    <s v="Ahmedabad"/>
    <n v="143083.79999999999"/>
    <n v="29899.05"/>
    <x v="1"/>
    <x v="1"/>
  </r>
  <r>
    <n v="226"/>
    <s v="Anita"/>
    <x v="1"/>
    <x v="4"/>
    <x v="10"/>
    <n v="4"/>
    <n v="41404"/>
    <x v="117"/>
    <n v="0"/>
    <x v="1"/>
    <x v="3"/>
    <s v="Delhi"/>
    <n v="165616"/>
    <n v="44826.36"/>
    <x v="2"/>
    <x v="2"/>
  </r>
  <r>
    <n v="227"/>
    <s v="Meera"/>
    <x v="0"/>
    <x v="1"/>
    <x v="4"/>
    <n v="4"/>
    <n v="19048"/>
    <x v="118"/>
    <n v="0"/>
    <x v="1"/>
    <x v="0"/>
    <s v="Bengaluru"/>
    <n v="76192"/>
    <n v="15874.64"/>
    <x v="2"/>
    <x v="2"/>
  </r>
  <r>
    <n v="228"/>
    <s v="Sneha"/>
    <x v="1"/>
    <x v="0"/>
    <x v="0"/>
    <n v="3"/>
    <n v="47417"/>
    <x v="119"/>
    <n v="5"/>
    <x v="4"/>
    <x v="0"/>
    <s v="Delhi"/>
    <n v="135138.45000000001"/>
    <n v="14084.71"/>
    <x v="3"/>
    <x v="0"/>
  </r>
  <r>
    <n v="229"/>
    <s v="Pooja"/>
    <x v="1"/>
    <x v="0"/>
    <x v="7"/>
    <n v="4"/>
    <n v="54467"/>
    <x v="120"/>
    <n v="5"/>
    <x v="3"/>
    <x v="0"/>
    <s v="Delhi"/>
    <n v="206974.6"/>
    <n v="37825.07"/>
    <x v="3"/>
    <x v="1"/>
  </r>
  <r>
    <n v="230"/>
    <s v="Vikas"/>
    <x v="0"/>
    <x v="0"/>
    <x v="0"/>
    <n v="5"/>
    <n v="40127"/>
    <x v="121"/>
    <n v="15"/>
    <x v="2"/>
    <x v="2"/>
    <s v="Mumbai"/>
    <n v="170539.75"/>
    <n v="42619.53"/>
    <x v="2"/>
    <x v="0"/>
  </r>
  <r>
    <n v="231"/>
    <s v="Dev"/>
    <x v="2"/>
    <x v="2"/>
    <x v="5"/>
    <n v="6"/>
    <n v="70549"/>
    <x v="122"/>
    <n v="0"/>
    <x v="3"/>
    <x v="1"/>
    <s v="Surat"/>
    <n v="423294"/>
    <n v="106141.87"/>
    <x v="3"/>
    <x v="0"/>
  </r>
  <r>
    <n v="232"/>
    <s v="Vikas"/>
    <x v="3"/>
    <x v="1"/>
    <x v="4"/>
    <n v="6"/>
    <n v="69688"/>
    <x v="123"/>
    <n v="10"/>
    <x v="2"/>
    <x v="1"/>
    <s v="Pune"/>
    <n v="376315.2"/>
    <n v="44855.39"/>
    <x v="0"/>
    <x v="1"/>
  </r>
  <r>
    <n v="233"/>
    <s v="Rohit"/>
    <x v="1"/>
    <x v="4"/>
    <x v="10"/>
    <n v="4"/>
    <n v="10757"/>
    <x v="124"/>
    <n v="10"/>
    <x v="3"/>
    <x v="1"/>
    <s v="Pune"/>
    <n v="38725.199999999997"/>
    <n v="6457.05"/>
    <x v="2"/>
    <x v="2"/>
  </r>
  <r>
    <n v="234"/>
    <s v="Sneha"/>
    <x v="0"/>
    <x v="3"/>
    <x v="15"/>
    <n v="9"/>
    <n v="38471"/>
    <x v="80"/>
    <n v="15"/>
    <x v="4"/>
    <x v="0"/>
    <s v="Indore"/>
    <n v="294303.15000000002"/>
    <n v="45554.29"/>
    <x v="3"/>
    <x v="1"/>
  </r>
  <r>
    <n v="235"/>
    <s v="Arjun"/>
    <x v="0"/>
    <x v="0"/>
    <x v="7"/>
    <n v="7"/>
    <n v="22634"/>
    <x v="125"/>
    <n v="20"/>
    <x v="0"/>
    <x v="2"/>
    <s v="Ahmedabad"/>
    <n v="126750.39999999999"/>
    <n v="13064.36"/>
    <x v="2"/>
    <x v="0"/>
  </r>
  <r>
    <n v="236"/>
    <s v="Karan"/>
    <x v="3"/>
    <x v="0"/>
    <x v="7"/>
    <n v="5"/>
    <n v="75949"/>
    <x v="126"/>
    <n v="20"/>
    <x v="3"/>
    <x v="1"/>
    <s v="Delhi"/>
    <n v="303796"/>
    <n v="84553.59"/>
    <x v="3"/>
    <x v="1"/>
  </r>
  <r>
    <n v="237"/>
    <s v="Rahul"/>
    <x v="1"/>
    <x v="1"/>
    <x v="14"/>
    <n v="8"/>
    <n v="38042"/>
    <x v="66"/>
    <n v="5"/>
    <x v="3"/>
    <x v="1"/>
    <s v="Ahmedabad"/>
    <n v="289119.2"/>
    <n v="56983.34"/>
    <x v="2"/>
    <x v="0"/>
  </r>
  <r>
    <n v="238"/>
    <s v="Arjun"/>
    <x v="2"/>
    <x v="1"/>
    <x v="14"/>
    <n v="9"/>
    <n v="74298"/>
    <x v="127"/>
    <n v="5"/>
    <x v="3"/>
    <x v="3"/>
    <s v="Jaipur"/>
    <n v="635247.9"/>
    <n v="183695.64"/>
    <x v="2"/>
    <x v="1"/>
  </r>
  <r>
    <n v="239"/>
    <s v="Sneha"/>
    <x v="2"/>
    <x v="0"/>
    <x v="2"/>
    <n v="4"/>
    <n v="42944"/>
    <x v="128"/>
    <n v="0"/>
    <x v="1"/>
    <x v="3"/>
    <s v="Bengaluru"/>
    <n v="171776"/>
    <n v="29476.84"/>
    <x v="1"/>
    <x v="1"/>
  </r>
  <r>
    <n v="240"/>
    <s v="Priya"/>
    <x v="1"/>
    <x v="4"/>
    <x v="13"/>
    <n v="10"/>
    <n v="16054"/>
    <x v="129"/>
    <n v="5"/>
    <x v="5"/>
    <x v="1"/>
    <s v="Jaipur"/>
    <n v="152513"/>
    <n v="28362.62"/>
    <x v="2"/>
    <x v="1"/>
  </r>
  <r>
    <n v="241"/>
    <s v="Isha"/>
    <x v="2"/>
    <x v="2"/>
    <x v="5"/>
    <n v="3"/>
    <n v="7372"/>
    <x v="130"/>
    <n v="10"/>
    <x v="4"/>
    <x v="1"/>
    <s v="Indore"/>
    <n v="19904.400000000001"/>
    <n v="5421.56"/>
    <x v="0"/>
    <x v="2"/>
  </r>
  <r>
    <n v="242"/>
    <s v="Meera"/>
    <x v="3"/>
    <x v="1"/>
    <x v="1"/>
    <n v="6"/>
    <n v="35430"/>
    <x v="131"/>
    <n v="10"/>
    <x v="3"/>
    <x v="3"/>
    <s v="Jaipur"/>
    <n v="191322"/>
    <n v="48684.34"/>
    <x v="0"/>
    <x v="0"/>
  </r>
  <r>
    <n v="243"/>
    <s v="Dev"/>
    <x v="1"/>
    <x v="2"/>
    <x v="6"/>
    <n v="9"/>
    <n v="12109"/>
    <x v="132"/>
    <n v="20"/>
    <x v="0"/>
    <x v="3"/>
    <s v="Surat"/>
    <n v="87184.8"/>
    <n v="14345.06"/>
    <x v="2"/>
    <x v="0"/>
  </r>
  <r>
    <n v="244"/>
    <s v="Sneha"/>
    <x v="3"/>
    <x v="4"/>
    <x v="11"/>
    <n v="6"/>
    <n v="24196"/>
    <x v="133"/>
    <n v="0"/>
    <x v="5"/>
    <x v="0"/>
    <s v="Indore"/>
    <n v="145176"/>
    <n v="31567.09"/>
    <x v="2"/>
    <x v="2"/>
  </r>
  <r>
    <n v="245"/>
    <s v="Aman"/>
    <x v="3"/>
    <x v="2"/>
    <x v="6"/>
    <n v="8"/>
    <n v="14196"/>
    <x v="134"/>
    <n v="10"/>
    <x v="5"/>
    <x v="1"/>
    <s v="Delhi"/>
    <n v="102211.2"/>
    <n v="10337.94"/>
    <x v="2"/>
    <x v="0"/>
  </r>
  <r>
    <n v="246"/>
    <s v="Isha"/>
    <x v="0"/>
    <x v="1"/>
    <x v="1"/>
    <n v="1"/>
    <n v="2971"/>
    <x v="135"/>
    <n v="15"/>
    <x v="2"/>
    <x v="3"/>
    <s v="Pune"/>
    <n v="2525.35"/>
    <n v="239.09"/>
    <x v="3"/>
    <x v="1"/>
  </r>
  <r>
    <n v="247"/>
    <s v="Sneha"/>
    <x v="3"/>
    <x v="2"/>
    <x v="6"/>
    <n v="9"/>
    <n v="1412"/>
    <x v="136"/>
    <n v="10"/>
    <x v="1"/>
    <x v="2"/>
    <s v="Bengaluru"/>
    <n v="11437.2"/>
    <n v="2627.1"/>
    <x v="2"/>
    <x v="2"/>
  </r>
  <r>
    <n v="248"/>
    <s v="Rahul"/>
    <x v="3"/>
    <x v="1"/>
    <x v="1"/>
    <n v="10"/>
    <n v="59553"/>
    <x v="137"/>
    <n v="5"/>
    <x v="2"/>
    <x v="3"/>
    <s v="Ahmedabad"/>
    <n v="565753.5"/>
    <n v="114965.14"/>
    <x v="0"/>
    <x v="1"/>
  </r>
  <r>
    <n v="249"/>
    <s v="Isha"/>
    <x v="0"/>
    <x v="1"/>
    <x v="1"/>
    <n v="6"/>
    <n v="28957"/>
    <x v="138"/>
    <n v="5"/>
    <x v="1"/>
    <x v="3"/>
    <s v="Pune"/>
    <n v="165054.9"/>
    <n v="22839.48"/>
    <x v="1"/>
    <x v="0"/>
  </r>
  <r>
    <n v="250"/>
    <s v="Rahul"/>
    <x v="2"/>
    <x v="0"/>
    <x v="7"/>
    <n v="5"/>
    <n v="70215"/>
    <x v="139"/>
    <n v="5"/>
    <x v="3"/>
    <x v="2"/>
    <s v="Ahmedabad"/>
    <n v="333521.25"/>
    <n v="49970.13"/>
    <x v="3"/>
    <x v="2"/>
  </r>
  <r>
    <n v="251"/>
    <s v="Priya"/>
    <x v="2"/>
    <x v="2"/>
    <x v="6"/>
    <n v="2"/>
    <n v="13850"/>
    <x v="140"/>
    <n v="10"/>
    <x v="3"/>
    <x v="0"/>
    <s v="Indore"/>
    <n v="24930"/>
    <n v="2500.83"/>
    <x v="0"/>
    <x v="2"/>
  </r>
  <r>
    <n v="252"/>
    <s v="Isha"/>
    <x v="2"/>
    <x v="2"/>
    <x v="3"/>
    <n v="9"/>
    <n v="66987"/>
    <x v="141"/>
    <n v="20"/>
    <x v="4"/>
    <x v="1"/>
    <s v="Surat"/>
    <n v="482306.4"/>
    <n v="48505.67"/>
    <x v="0"/>
    <x v="1"/>
  </r>
  <r>
    <n v="253"/>
    <s v="Rahul"/>
    <x v="3"/>
    <x v="1"/>
    <x v="14"/>
    <n v="9"/>
    <n v="19022"/>
    <x v="142"/>
    <n v="15"/>
    <x v="4"/>
    <x v="3"/>
    <s v="Indore"/>
    <n v="145518.29999999999"/>
    <n v="13896.24"/>
    <x v="1"/>
    <x v="2"/>
  </r>
  <r>
    <n v="254"/>
    <s v="Meera"/>
    <x v="2"/>
    <x v="2"/>
    <x v="6"/>
    <n v="4"/>
    <n v="18559"/>
    <x v="143"/>
    <n v="0"/>
    <x v="5"/>
    <x v="1"/>
    <s v="Jaipur"/>
    <n v="74236"/>
    <n v="19126.38"/>
    <x v="0"/>
    <x v="1"/>
  </r>
  <r>
    <n v="255"/>
    <s v="Isha"/>
    <x v="0"/>
    <x v="2"/>
    <x v="3"/>
    <n v="3"/>
    <n v="75234"/>
    <x v="144"/>
    <n v="10"/>
    <x v="2"/>
    <x v="1"/>
    <s v="Indore"/>
    <n v="203131.8"/>
    <n v="27757.18"/>
    <x v="3"/>
    <x v="0"/>
  </r>
  <r>
    <n v="256"/>
    <s v="Priya"/>
    <x v="3"/>
    <x v="4"/>
    <x v="11"/>
    <n v="1"/>
    <n v="68806"/>
    <x v="145"/>
    <n v="20"/>
    <x v="2"/>
    <x v="1"/>
    <s v="Mumbai"/>
    <n v="55044.800000000003"/>
    <n v="8045.03"/>
    <x v="3"/>
    <x v="1"/>
  </r>
  <r>
    <n v="257"/>
    <s v="Sneha"/>
    <x v="3"/>
    <x v="4"/>
    <x v="11"/>
    <n v="4"/>
    <n v="10625"/>
    <x v="65"/>
    <n v="5"/>
    <x v="2"/>
    <x v="1"/>
    <s v="Bengaluru"/>
    <n v="40375"/>
    <n v="9277.74"/>
    <x v="3"/>
    <x v="0"/>
  </r>
  <r>
    <n v="258"/>
    <s v="Vikas"/>
    <x v="2"/>
    <x v="4"/>
    <x v="10"/>
    <n v="2"/>
    <n v="64916"/>
    <x v="146"/>
    <n v="0"/>
    <x v="1"/>
    <x v="3"/>
    <s v="Surat"/>
    <n v="129832"/>
    <n v="38304.980000000003"/>
    <x v="2"/>
    <x v="2"/>
  </r>
  <r>
    <n v="259"/>
    <s v="Vikas"/>
    <x v="1"/>
    <x v="3"/>
    <x v="15"/>
    <n v="9"/>
    <n v="12036"/>
    <x v="147"/>
    <n v="15"/>
    <x v="5"/>
    <x v="2"/>
    <s v="Jaipur"/>
    <n v="92075.4"/>
    <n v="25781.93"/>
    <x v="3"/>
    <x v="0"/>
  </r>
  <r>
    <n v="260"/>
    <s v="Dev"/>
    <x v="2"/>
    <x v="4"/>
    <x v="10"/>
    <n v="10"/>
    <n v="1489"/>
    <x v="148"/>
    <n v="20"/>
    <x v="0"/>
    <x v="1"/>
    <s v="Delhi"/>
    <n v="11912"/>
    <n v="2373.69"/>
    <x v="3"/>
    <x v="1"/>
  </r>
  <r>
    <n v="261"/>
    <s v="Riya"/>
    <x v="1"/>
    <x v="2"/>
    <x v="5"/>
    <n v="9"/>
    <n v="20726"/>
    <x v="149"/>
    <n v="0"/>
    <x v="0"/>
    <x v="0"/>
    <s v="Pune"/>
    <n v="186534"/>
    <n v="27643.66"/>
    <x v="1"/>
    <x v="0"/>
  </r>
  <r>
    <n v="262"/>
    <s v="Anita"/>
    <x v="1"/>
    <x v="4"/>
    <x v="11"/>
    <n v="8"/>
    <n v="79580"/>
    <x v="55"/>
    <n v="5"/>
    <x v="2"/>
    <x v="0"/>
    <s v="Jaipur"/>
    <n v="604808"/>
    <n v="162790.70000000001"/>
    <x v="2"/>
    <x v="1"/>
  </r>
  <r>
    <n v="263"/>
    <s v="Priya"/>
    <x v="2"/>
    <x v="0"/>
    <x v="7"/>
    <n v="8"/>
    <n v="52040"/>
    <x v="150"/>
    <n v="5"/>
    <x v="1"/>
    <x v="0"/>
    <s v="Indore"/>
    <n v="395504"/>
    <n v="97025.64"/>
    <x v="2"/>
    <x v="1"/>
  </r>
  <r>
    <n v="264"/>
    <s v="Vikas"/>
    <x v="3"/>
    <x v="1"/>
    <x v="14"/>
    <n v="4"/>
    <n v="5127"/>
    <x v="151"/>
    <n v="20"/>
    <x v="3"/>
    <x v="2"/>
    <s v="Delhi"/>
    <n v="16406.400000000001"/>
    <n v="3722.13"/>
    <x v="0"/>
    <x v="1"/>
  </r>
  <r>
    <n v="265"/>
    <s v="Aman"/>
    <x v="0"/>
    <x v="4"/>
    <x v="10"/>
    <n v="10"/>
    <n v="72322"/>
    <x v="152"/>
    <n v="5"/>
    <x v="5"/>
    <x v="1"/>
    <s v="Bengaluru"/>
    <n v="687059"/>
    <n v="77543.56"/>
    <x v="3"/>
    <x v="0"/>
  </r>
  <r>
    <n v="266"/>
    <s v="Anita"/>
    <x v="2"/>
    <x v="0"/>
    <x v="7"/>
    <n v="10"/>
    <n v="10050"/>
    <x v="151"/>
    <n v="10"/>
    <x v="0"/>
    <x v="0"/>
    <s v="Delhi"/>
    <n v="90450"/>
    <n v="21711.81"/>
    <x v="3"/>
    <x v="2"/>
  </r>
  <r>
    <n v="267"/>
    <s v="Aman"/>
    <x v="2"/>
    <x v="2"/>
    <x v="6"/>
    <n v="1"/>
    <n v="74703"/>
    <x v="153"/>
    <n v="5"/>
    <x v="5"/>
    <x v="0"/>
    <s v="Indore"/>
    <n v="70967.850000000006"/>
    <n v="7064.17"/>
    <x v="2"/>
    <x v="2"/>
  </r>
  <r>
    <n v="268"/>
    <s v="Rahul"/>
    <x v="3"/>
    <x v="4"/>
    <x v="10"/>
    <n v="10"/>
    <n v="13265"/>
    <x v="154"/>
    <n v="5"/>
    <x v="3"/>
    <x v="1"/>
    <s v="Jaipur"/>
    <n v="126017.5"/>
    <n v="21562.17"/>
    <x v="2"/>
    <x v="2"/>
  </r>
  <r>
    <n v="269"/>
    <s v="Arjun"/>
    <x v="2"/>
    <x v="4"/>
    <x v="11"/>
    <n v="1"/>
    <n v="14820"/>
    <x v="155"/>
    <n v="15"/>
    <x v="2"/>
    <x v="3"/>
    <s v="Jaipur"/>
    <n v="12597"/>
    <n v="1300.18"/>
    <x v="0"/>
    <x v="2"/>
  </r>
  <r>
    <n v="270"/>
    <s v="Rahul"/>
    <x v="1"/>
    <x v="3"/>
    <x v="15"/>
    <n v="6"/>
    <n v="51073"/>
    <x v="144"/>
    <n v="10"/>
    <x v="2"/>
    <x v="1"/>
    <s v="Surat"/>
    <n v="275794.2"/>
    <n v="79063.100000000006"/>
    <x v="3"/>
    <x v="0"/>
  </r>
  <r>
    <n v="271"/>
    <s v="Priya"/>
    <x v="3"/>
    <x v="3"/>
    <x v="15"/>
    <n v="6"/>
    <n v="67895"/>
    <x v="156"/>
    <n v="15"/>
    <x v="3"/>
    <x v="3"/>
    <s v="Jaipur"/>
    <n v="346264.5"/>
    <n v="100877.08"/>
    <x v="0"/>
    <x v="0"/>
  </r>
  <r>
    <n v="272"/>
    <s v="Vikas"/>
    <x v="3"/>
    <x v="4"/>
    <x v="13"/>
    <n v="7"/>
    <n v="7545"/>
    <x v="157"/>
    <n v="20"/>
    <x v="0"/>
    <x v="0"/>
    <s v="Mumbai"/>
    <n v="42252"/>
    <n v="5181.66"/>
    <x v="3"/>
    <x v="1"/>
  </r>
  <r>
    <n v="273"/>
    <s v="Rohit"/>
    <x v="0"/>
    <x v="4"/>
    <x v="11"/>
    <n v="5"/>
    <n v="66462"/>
    <x v="158"/>
    <n v="10"/>
    <x v="3"/>
    <x v="1"/>
    <s v="Surat"/>
    <n v="299079"/>
    <n v="28375.85"/>
    <x v="1"/>
    <x v="0"/>
  </r>
  <r>
    <n v="274"/>
    <s v="Aman"/>
    <x v="1"/>
    <x v="1"/>
    <x v="14"/>
    <n v="6"/>
    <n v="76660"/>
    <x v="159"/>
    <n v="5"/>
    <x v="5"/>
    <x v="2"/>
    <s v="Jaipur"/>
    <n v="436962"/>
    <n v="38711.99"/>
    <x v="2"/>
    <x v="1"/>
  </r>
  <r>
    <n v="275"/>
    <s v="Priya"/>
    <x v="2"/>
    <x v="4"/>
    <x v="10"/>
    <n v="10"/>
    <n v="9056"/>
    <x v="147"/>
    <n v="15"/>
    <x v="5"/>
    <x v="1"/>
    <s v="Indore"/>
    <n v="76976"/>
    <n v="13589.15"/>
    <x v="0"/>
    <x v="1"/>
  </r>
  <r>
    <n v="276"/>
    <s v="Rahul"/>
    <x v="0"/>
    <x v="1"/>
    <x v="1"/>
    <n v="10"/>
    <n v="66080"/>
    <x v="160"/>
    <n v="0"/>
    <x v="5"/>
    <x v="2"/>
    <s v="Indore"/>
    <n v="660800"/>
    <n v="59538.19"/>
    <x v="3"/>
    <x v="0"/>
  </r>
  <r>
    <n v="277"/>
    <s v="Sneha"/>
    <x v="3"/>
    <x v="3"/>
    <x v="12"/>
    <n v="9"/>
    <n v="43316"/>
    <x v="161"/>
    <n v="0"/>
    <x v="5"/>
    <x v="1"/>
    <s v="Pune"/>
    <n v="389844"/>
    <n v="116013.79"/>
    <x v="0"/>
    <x v="0"/>
  </r>
  <r>
    <n v="278"/>
    <s v="Karan"/>
    <x v="3"/>
    <x v="4"/>
    <x v="13"/>
    <n v="5"/>
    <n v="58386"/>
    <x v="162"/>
    <n v="0"/>
    <x v="3"/>
    <x v="3"/>
    <s v="Delhi"/>
    <n v="291930"/>
    <n v="65727.13"/>
    <x v="3"/>
    <x v="2"/>
  </r>
  <r>
    <n v="279"/>
    <s v="Anita"/>
    <x v="2"/>
    <x v="3"/>
    <x v="12"/>
    <n v="9"/>
    <n v="65801"/>
    <x v="163"/>
    <n v="0"/>
    <x v="5"/>
    <x v="1"/>
    <s v="Bengaluru"/>
    <n v="592209"/>
    <n v="157279.06"/>
    <x v="0"/>
    <x v="2"/>
  </r>
  <r>
    <n v="280"/>
    <s v="Aman"/>
    <x v="2"/>
    <x v="3"/>
    <x v="15"/>
    <n v="10"/>
    <n v="33855"/>
    <x v="164"/>
    <n v="0"/>
    <x v="4"/>
    <x v="3"/>
    <s v="Ahmedabad"/>
    <n v="338550"/>
    <n v="79448.12"/>
    <x v="0"/>
    <x v="2"/>
  </r>
  <r>
    <n v="281"/>
    <s v="Vikas"/>
    <x v="0"/>
    <x v="1"/>
    <x v="1"/>
    <n v="4"/>
    <n v="7845"/>
    <x v="160"/>
    <n v="15"/>
    <x v="1"/>
    <x v="3"/>
    <s v="Ahmedabad"/>
    <n v="26673"/>
    <n v="2307.0700000000002"/>
    <x v="0"/>
    <x v="2"/>
  </r>
  <r>
    <n v="282"/>
    <s v="Vikas"/>
    <x v="0"/>
    <x v="3"/>
    <x v="8"/>
    <n v="4"/>
    <n v="2287"/>
    <x v="165"/>
    <n v="5"/>
    <x v="3"/>
    <x v="2"/>
    <s v="Mumbai"/>
    <n v="8690.6"/>
    <n v="1323.07"/>
    <x v="2"/>
    <x v="1"/>
  </r>
  <r>
    <n v="283"/>
    <s v="Anita"/>
    <x v="2"/>
    <x v="4"/>
    <x v="13"/>
    <n v="1"/>
    <n v="39384"/>
    <x v="166"/>
    <n v="15"/>
    <x v="3"/>
    <x v="3"/>
    <s v="Ahmedabad"/>
    <n v="33476.400000000001"/>
    <n v="7958.66"/>
    <x v="1"/>
    <x v="0"/>
  </r>
  <r>
    <n v="284"/>
    <s v="Isha"/>
    <x v="1"/>
    <x v="0"/>
    <x v="9"/>
    <n v="6"/>
    <n v="42842"/>
    <x v="167"/>
    <n v="5"/>
    <x v="0"/>
    <x v="3"/>
    <s v="Delhi"/>
    <n v="244199.4"/>
    <n v="69883.41"/>
    <x v="1"/>
    <x v="1"/>
  </r>
  <r>
    <n v="285"/>
    <s v="Karan"/>
    <x v="3"/>
    <x v="4"/>
    <x v="10"/>
    <n v="3"/>
    <n v="32597"/>
    <x v="168"/>
    <n v="10"/>
    <x v="4"/>
    <x v="0"/>
    <s v="Jaipur"/>
    <n v="88011.9"/>
    <n v="8751.84"/>
    <x v="0"/>
    <x v="0"/>
  </r>
  <r>
    <n v="286"/>
    <s v="Karan"/>
    <x v="2"/>
    <x v="0"/>
    <x v="7"/>
    <n v="9"/>
    <n v="5966"/>
    <x v="169"/>
    <n v="15"/>
    <x v="3"/>
    <x v="1"/>
    <s v="Jaipur"/>
    <n v="45639.9"/>
    <n v="6723.95"/>
    <x v="3"/>
    <x v="2"/>
  </r>
  <r>
    <n v="287"/>
    <s v="Karan"/>
    <x v="0"/>
    <x v="1"/>
    <x v="4"/>
    <n v="10"/>
    <n v="34512"/>
    <x v="170"/>
    <n v="10"/>
    <x v="4"/>
    <x v="1"/>
    <s v="Surat"/>
    <n v="310608"/>
    <n v="26284.21"/>
    <x v="2"/>
    <x v="2"/>
  </r>
  <r>
    <n v="288"/>
    <s v="Riya"/>
    <x v="3"/>
    <x v="0"/>
    <x v="7"/>
    <n v="7"/>
    <n v="21610"/>
    <x v="168"/>
    <n v="15"/>
    <x v="2"/>
    <x v="2"/>
    <s v="Delhi"/>
    <n v="128579.5"/>
    <n v="26814.55"/>
    <x v="2"/>
    <x v="0"/>
  </r>
  <r>
    <n v="289"/>
    <s v="Isha"/>
    <x v="2"/>
    <x v="2"/>
    <x v="6"/>
    <n v="10"/>
    <n v="23627"/>
    <x v="171"/>
    <n v="20"/>
    <x v="3"/>
    <x v="3"/>
    <s v="Indore"/>
    <n v="189016"/>
    <n v="21875.39"/>
    <x v="2"/>
    <x v="2"/>
  </r>
  <r>
    <n v="290"/>
    <s v="Pooja"/>
    <x v="1"/>
    <x v="2"/>
    <x v="6"/>
    <n v="4"/>
    <n v="19368"/>
    <x v="172"/>
    <n v="20"/>
    <x v="0"/>
    <x v="1"/>
    <s v="Mumbai"/>
    <n v="61977.599999999999"/>
    <n v="18003.96"/>
    <x v="3"/>
    <x v="0"/>
  </r>
  <r>
    <n v="291"/>
    <s v="Arjun"/>
    <x v="3"/>
    <x v="4"/>
    <x v="10"/>
    <n v="3"/>
    <n v="7821"/>
    <x v="173"/>
    <n v="15"/>
    <x v="2"/>
    <x v="3"/>
    <s v="Ahmedabad"/>
    <n v="19943.55"/>
    <n v="4892.1400000000003"/>
    <x v="3"/>
    <x v="1"/>
  </r>
  <r>
    <n v="292"/>
    <s v="Sneha"/>
    <x v="3"/>
    <x v="2"/>
    <x v="5"/>
    <n v="2"/>
    <n v="42166"/>
    <x v="54"/>
    <n v="5"/>
    <x v="2"/>
    <x v="3"/>
    <s v="Delhi"/>
    <n v="80115.399999999994"/>
    <n v="12237.38"/>
    <x v="0"/>
    <x v="2"/>
  </r>
  <r>
    <n v="293"/>
    <s v="Rohit"/>
    <x v="1"/>
    <x v="2"/>
    <x v="5"/>
    <n v="10"/>
    <n v="1730"/>
    <x v="174"/>
    <n v="15"/>
    <x v="5"/>
    <x v="2"/>
    <s v="Surat"/>
    <n v="14705"/>
    <n v="2810.67"/>
    <x v="1"/>
    <x v="2"/>
  </r>
  <r>
    <n v="294"/>
    <s v="Priya"/>
    <x v="3"/>
    <x v="2"/>
    <x v="5"/>
    <n v="10"/>
    <n v="12209"/>
    <x v="94"/>
    <n v="0"/>
    <x v="1"/>
    <x v="2"/>
    <s v="Mumbai"/>
    <n v="122090"/>
    <n v="17250.87"/>
    <x v="3"/>
    <x v="2"/>
  </r>
  <r>
    <n v="295"/>
    <s v="Sneha"/>
    <x v="0"/>
    <x v="2"/>
    <x v="3"/>
    <n v="2"/>
    <n v="45930"/>
    <x v="175"/>
    <n v="5"/>
    <x v="4"/>
    <x v="2"/>
    <s v="Mumbai"/>
    <n v="87267"/>
    <n v="7021.85"/>
    <x v="3"/>
    <x v="1"/>
  </r>
  <r>
    <n v="296"/>
    <s v="Rohit"/>
    <x v="3"/>
    <x v="0"/>
    <x v="2"/>
    <n v="4"/>
    <n v="43620"/>
    <x v="176"/>
    <n v="0"/>
    <x v="2"/>
    <x v="3"/>
    <s v="Indore"/>
    <n v="174480"/>
    <n v="49443.49"/>
    <x v="1"/>
    <x v="1"/>
  </r>
  <r>
    <n v="297"/>
    <s v="Neha"/>
    <x v="1"/>
    <x v="3"/>
    <x v="12"/>
    <n v="4"/>
    <n v="53235"/>
    <x v="177"/>
    <n v="10"/>
    <x v="0"/>
    <x v="0"/>
    <s v="Bengaluru"/>
    <n v="191646"/>
    <n v="46938.44"/>
    <x v="3"/>
    <x v="1"/>
  </r>
  <r>
    <n v="298"/>
    <s v="Meera"/>
    <x v="1"/>
    <x v="3"/>
    <x v="15"/>
    <n v="7"/>
    <n v="24561"/>
    <x v="178"/>
    <n v="10"/>
    <x v="3"/>
    <x v="2"/>
    <s v="Pune"/>
    <n v="154734.29999999999"/>
    <n v="42676.93"/>
    <x v="2"/>
    <x v="1"/>
  </r>
  <r>
    <n v="299"/>
    <s v="Riya"/>
    <x v="3"/>
    <x v="1"/>
    <x v="4"/>
    <n v="7"/>
    <n v="44296"/>
    <x v="179"/>
    <n v="5"/>
    <x v="1"/>
    <x v="0"/>
    <s v="Surat"/>
    <n v="294568.40000000002"/>
    <n v="30382.98"/>
    <x v="3"/>
    <x v="1"/>
  </r>
  <r>
    <n v="300"/>
    <s v="Meera"/>
    <x v="0"/>
    <x v="4"/>
    <x v="11"/>
    <n v="1"/>
    <n v="29233"/>
    <x v="113"/>
    <n v="15"/>
    <x v="3"/>
    <x v="3"/>
    <s v="Indore"/>
    <n v="24848.05"/>
    <n v="4444.1400000000003"/>
    <x v="1"/>
    <x v="0"/>
  </r>
  <r>
    <n v="301"/>
    <s v="Isha"/>
    <x v="0"/>
    <x v="0"/>
    <x v="2"/>
    <n v="5"/>
    <n v="51435"/>
    <x v="180"/>
    <n v="15"/>
    <x v="5"/>
    <x v="0"/>
    <s v="Ahmedabad"/>
    <n v="218598.75"/>
    <n v="60743.13"/>
    <x v="1"/>
    <x v="2"/>
  </r>
  <r>
    <n v="302"/>
    <s v="Meera"/>
    <x v="3"/>
    <x v="4"/>
    <x v="10"/>
    <n v="4"/>
    <n v="20305"/>
    <x v="181"/>
    <n v="0"/>
    <x v="4"/>
    <x v="0"/>
    <s v="Jaipur"/>
    <n v="81220"/>
    <n v="19012.72"/>
    <x v="2"/>
    <x v="1"/>
  </r>
  <r>
    <n v="303"/>
    <s v="Pooja"/>
    <x v="3"/>
    <x v="0"/>
    <x v="9"/>
    <n v="10"/>
    <n v="68988"/>
    <x v="182"/>
    <n v="20"/>
    <x v="3"/>
    <x v="1"/>
    <s v="Jaipur"/>
    <n v="551904"/>
    <n v="162906.65"/>
    <x v="1"/>
    <x v="2"/>
  </r>
  <r>
    <n v="304"/>
    <s v="Pooja"/>
    <x v="2"/>
    <x v="3"/>
    <x v="8"/>
    <n v="5"/>
    <n v="54245"/>
    <x v="183"/>
    <n v="5"/>
    <x v="3"/>
    <x v="0"/>
    <s v="Ahmedabad"/>
    <n v="257663.75"/>
    <n v="47149.01"/>
    <x v="0"/>
    <x v="1"/>
  </r>
  <r>
    <n v="305"/>
    <s v="Sneha"/>
    <x v="0"/>
    <x v="1"/>
    <x v="4"/>
    <n v="10"/>
    <n v="26859"/>
    <x v="184"/>
    <n v="15"/>
    <x v="3"/>
    <x v="0"/>
    <s v="Surat"/>
    <n v="228301.5"/>
    <n v="31788.76"/>
    <x v="3"/>
    <x v="1"/>
  </r>
  <r>
    <n v="306"/>
    <s v="Sneha"/>
    <x v="1"/>
    <x v="0"/>
    <x v="9"/>
    <n v="10"/>
    <n v="60105"/>
    <x v="185"/>
    <n v="20"/>
    <x v="4"/>
    <x v="3"/>
    <s v="Ahmedabad"/>
    <n v="480840"/>
    <n v="82282.210000000006"/>
    <x v="3"/>
    <x v="2"/>
  </r>
  <r>
    <n v="307"/>
    <s v="Priya"/>
    <x v="0"/>
    <x v="0"/>
    <x v="0"/>
    <n v="4"/>
    <n v="36866"/>
    <x v="186"/>
    <n v="10"/>
    <x v="1"/>
    <x v="0"/>
    <s v="Ahmedabad"/>
    <n v="132717.6"/>
    <n v="27222.11"/>
    <x v="2"/>
    <x v="1"/>
  </r>
  <r>
    <n v="308"/>
    <s v="Dev"/>
    <x v="3"/>
    <x v="4"/>
    <x v="10"/>
    <n v="7"/>
    <n v="31783"/>
    <x v="187"/>
    <n v="10"/>
    <x v="2"/>
    <x v="0"/>
    <s v="Pune"/>
    <n v="200232.9"/>
    <n v="46656.54"/>
    <x v="0"/>
    <x v="1"/>
  </r>
  <r>
    <n v="309"/>
    <s v="Karan"/>
    <x v="2"/>
    <x v="0"/>
    <x v="0"/>
    <n v="3"/>
    <n v="70028"/>
    <x v="181"/>
    <n v="0"/>
    <x v="1"/>
    <x v="1"/>
    <s v="Pune"/>
    <n v="210084"/>
    <n v="54500.34"/>
    <x v="2"/>
    <x v="0"/>
  </r>
  <r>
    <n v="310"/>
    <s v="Vikas"/>
    <x v="0"/>
    <x v="0"/>
    <x v="2"/>
    <n v="8"/>
    <n v="12284"/>
    <x v="188"/>
    <n v="5"/>
    <x v="1"/>
    <x v="0"/>
    <s v="Pune"/>
    <n v="93358.399999999994"/>
    <n v="24056.1"/>
    <x v="1"/>
    <x v="0"/>
  </r>
  <r>
    <n v="311"/>
    <s v="Isha"/>
    <x v="0"/>
    <x v="3"/>
    <x v="15"/>
    <n v="5"/>
    <n v="8591"/>
    <x v="189"/>
    <n v="0"/>
    <x v="4"/>
    <x v="1"/>
    <s v="Delhi"/>
    <n v="42955"/>
    <n v="6489.38"/>
    <x v="0"/>
    <x v="0"/>
  </r>
  <r>
    <n v="312"/>
    <s v="Rohit"/>
    <x v="0"/>
    <x v="4"/>
    <x v="10"/>
    <n v="2"/>
    <n v="16532"/>
    <x v="190"/>
    <n v="5"/>
    <x v="0"/>
    <x v="3"/>
    <s v="Bengaluru"/>
    <n v="31410.799999999999"/>
    <n v="8011.63"/>
    <x v="2"/>
    <x v="1"/>
  </r>
  <r>
    <n v="313"/>
    <s v="Priya"/>
    <x v="3"/>
    <x v="1"/>
    <x v="4"/>
    <n v="3"/>
    <n v="15199"/>
    <x v="191"/>
    <n v="15"/>
    <x v="0"/>
    <x v="0"/>
    <s v="Delhi"/>
    <n v="38757.449999999997"/>
    <n v="9458.76"/>
    <x v="3"/>
    <x v="1"/>
  </r>
  <r>
    <n v="314"/>
    <s v="Rahul"/>
    <x v="1"/>
    <x v="2"/>
    <x v="3"/>
    <n v="8"/>
    <n v="76240"/>
    <x v="192"/>
    <n v="20"/>
    <x v="4"/>
    <x v="1"/>
    <s v="Mumbai"/>
    <n v="487936"/>
    <n v="104914.96"/>
    <x v="2"/>
    <x v="0"/>
  </r>
  <r>
    <n v="315"/>
    <s v="Sneha"/>
    <x v="0"/>
    <x v="0"/>
    <x v="2"/>
    <n v="3"/>
    <n v="71059"/>
    <x v="193"/>
    <n v="10"/>
    <x v="1"/>
    <x v="1"/>
    <s v="Jaipur"/>
    <n v="191859.3"/>
    <n v="16784.47"/>
    <x v="1"/>
    <x v="1"/>
  </r>
  <r>
    <n v="316"/>
    <s v="Riya"/>
    <x v="0"/>
    <x v="3"/>
    <x v="15"/>
    <n v="6"/>
    <n v="65245"/>
    <x v="194"/>
    <n v="5"/>
    <x v="2"/>
    <x v="0"/>
    <s v="Delhi"/>
    <n v="371896.5"/>
    <n v="38984.480000000003"/>
    <x v="0"/>
    <x v="1"/>
  </r>
  <r>
    <n v="317"/>
    <s v="Sneha"/>
    <x v="1"/>
    <x v="1"/>
    <x v="1"/>
    <n v="3"/>
    <n v="47674"/>
    <x v="195"/>
    <n v="5"/>
    <x v="2"/>
    <x v="3"/>
    <s v="Delhi"/>
    <n v="135870.9"/>
    <n v="24654.99"/>
    <x v="2"/>
    <x v="1"/>
  </r>
  <r>
    <n v="318"/>
    <s v="Vikas"/>
    <x v="1"/>
    <x v="4"/>
    <x v="13"/>
    <n v="6"/>
    <n v="25490"/>
    <x v="196"/>
    <n v="20"/>
    <x v="4"/>
    <x v="1"/>
    <s v="Mumbai"/>
    <n v="122352"/>
    <n v="21337.759999999998"/>
    <x v="3"/>
    <x v="2"/>
  </r>
  <r>
    <n v="319"/>
    <s v="Sneha"/>
    <x v="1"/>
    <x v="0"/>
    <x v="2"/>
    <n v="8"/>
    <n v="47302"/>
    <x v="197"/>
    <n v="20"/>
    <x v="5"/>
    <x v="3"/>
    <s v="Delhi"/>
    <n v="302732.79999999999"/>
    <n v="40684.120000000003"/>
    <x v="2"/>
    <x v="0"/>
  </r>
  <r>
    <n v="320"/>
    <s v="Arjun"/>
    <x v="2"/>
    <x v="0"/>
    <x v="7"/>
    <n v="4"/>
    <n v="35168"/>
    <x v="35"/>
    <n v="5"/>
    <x v="5"/>
    <x v="2"/>
    <s v="Delhi"/>
    <n v="133638.39999999999"/>
    <n v="25261.69"/>
    <x v="0"/>
    <x v="1"/>
  </r>
  <r>
    <n v="321"/>
    <s v="Rohit"/>
    <x v="3"/>
    <x v="1"/>
    <x v="4"/>
    <n v="5"/>
    <n v="22642"/>
    <x v="198"/>
    <n v="10"/>
    <x v="3"/>
    <x v="3"/>
    <s v="Indore"/>
    <n v="101889"/>
    <n v="28284.39"/>
    <x v="3"/>
    <x v="0"/>
  </r>
  <r>
    <n v="322"/>
    <s v="Priya"/>
    <x v="3"/>
    <x v="4"/>
    <x v="10"/>
    <n v="2"/>
    <n v="61805"/>
    <x v="199"/>
    <n v="20"/>
    <x v="3"/>
    <x v="1"/>
    <s v="Ahmedabad"/>
    <n v="98888"/>
    <n v="18550.45"/>
    <x v="0"/>
    <x v="1"/>
  </r>
  <r>
    <n v="323"/>
    <s v="Rahul"/>
    <x v="3"/>
    <x v="2"/>
    <x v="3"/>
    <n v="2"/>
    <n v="37492"/>
    <x v="200"/>
    <n v="0"/>
    <x v="4"/>
    <x v="1"/>
    <s v="Surat"/>
    <n v="74984"/>
    <n v="17728.14"/>
    <x v="2"/>
    <x v="1"/>
  </r>
  <r>
    <n v="324"/>
    <s v="Sneha"/>
    <x v="0"/>
    <x v="2"/>
    <x v="5"/>
    <n v="5"/>
    <n v="1741"/>
    <x v="183"/>
    <n v="15"/>
    <x v="2"/>
    <x v="0"/>
    <s v="Pune"/>
    <n v="7399.25"/>
    <n v="1698.6"/>
    <x v="1"/>
    <x v="1"/>
  </r>
  <r>
    <n v="325"/>
    <s v="Vikas"/>
    <x v="1"/>
    <x v="4"/>
    <x v="11"/>
    <n v="9"/>
    <n v="48833"/>
    <x v="156"/>
    <n v="10"/>
    <x v="2"/>
    <x v="0"/>
    <s v="Delhi"/>
    <n v="395547.3"/>
    <n v="100074.04"/>
    <x v="1"/>
    <x v="2"/>
  </r>
  <r>
    <n v="326"/>
    <s v="Riya"/>
    <x v="3"/>
    <x v="4"/>
    <x v="11"/>
    <n v="5"/>
    <n v="69743"/>
    <x v="154"/>
    <n v="15"/>
    <x v="2"/>
    <x v="0"/>
    <s v="Pune"/>
    <n v="296407.75"/>
    <n v="60704.32"/>
    <x v="3"/>
    <x v="0"/>
  </r>
  <r>
    <n v="327"/>
    <s v="Arjun"/>
    <x v="2"/>
    <x v="1"/>
    <x v="1"/>
    <n v="1"/>
    <n v="63303"/>
    <x v="201"/>
    <n v="0"/>
    <x v="4"/>
    <x v="3"/>
    <s v="Mumbai"/>
    <n v="63303"/>
    <n v="12283.06"/>
    <x v="0"/>
    <x v="0"/>
  </r>
  <r>
    <n v="328"/>
    <s v="Pooja"/>
    <x v="0"/>
    <x v="0"/>
    <x v="7"/>
    <n v="4"/>
    <n v="56219"/>
    <x v="202"/>
    <n v="15"/>
    <x v="4"/>
    <x v="1"/>
    <s v="Surat"/>
    <n v="191144.6"/>
    <n v="32314.73"/>
    <x v="3"/>
    <x v="0"/>
  </r>
  <r>
    <n v="329"/>
    <s v="Rohit"/>
    <x v="1"/>
    <x v="4"/>
    <x v="10"/>
    <n v="2"/>
    <n v="24173"/>
    <x v="203"/>
    <n v="0"/>
    <x v="2"/>
    <x v="1"/>
    <s v="Mumbai"/>
    <n v="48346"/>
    <n v="9760.18"/>
    <x v="3"/>
    <x v="2"/>
  </r>
  <r>
    <n v="330"/>
    <s v="Rahul"/>
    <x v="0"/>
    <x v="1"/>
    <x v="4"/>
    <n v="7"/>
    <n v="29422"/>
    <x v="204"/>
    <n v="15"/>
    <x v="3"/>
    <x v="1"/>
    <s v="Delhi"/>
    <n v="175060.9"/>
    <n v="16152.89"/>
    <x v="1"/>
    <x v="1"/>
  </r>
  <r>
    <n v="331"/>
    <s v="Arjun"/>
    <x v="1"/>
    <x v="1"/>
    <x v="1"/>
    <n v="4"/>
    <n v="76520"/>
    <x v="163"/>
    <n v="15"/>
    <x v="2"/>
    <x v="1"/>
    <s v="Ahmedabad"/>
    <n v="260168"/>
    <n v="65167.46"/>
    <x v="2"/>
    <x v="0"/>
  </r>
  <r>
    <n v="332"/>
    <s v="Rohit"/>
    <x v="2"/>
    <x v="0"/>
    <x v="9"/>
    <n v="10"/>
    <n v="30509"/>
    <x v="205"/>
    <n v="10"/>
    <x v="1"/>
    <x v="2"/>
    <s v="Mumbai"/>
    <n v="274581"/>
    <n v="37454.67"/>
    <x v="2"/>
    <x v="2"/>
  </r>
  <r>
    <n v="333"/>
    <s v="Arjun"/>
    <x v="1"/>
    <x v="0"/>
    <x v="2"/>
    <n v="1"/>
    <n v="47792"/>
    <x v="185"/>
    <n v="5"/>
    <x v="0"/>
    <x v="3"/>
    <s v="Indore"/>
    <n v="45402.400000000001"/>
    <n v="9715.4599999999991"/>
    <x v="1"/>
    <x v="0"/>
  </r>
  <r>
    <n v="334"/>
    <s v="Sneha"/>
    <x v="3"/>
    <x v="1"/>
    <x v="4"/>
    <n v="2"/>
    <n v="19456"/>
    <x v="151"/>
    <n v="0"/>
    <x v="2"/>
    <x v="0"/>
    <s v="Bengaluru"/>
    <n v="38912"/>
    <n v="4448.57"/>
    <x v="1"/>
    <x v="2"/>
  </r>
  <r>
    <n v="335"/>
    <s v="Vikas"/>
    <x v="2"/>
    <x v="4"/>
    <x v="11"/>
    <n v="6"/>
    <n v="6858"/>
    <x v="206"/>
    <n v="5"/>
    <x v="2"/>
    <x v="2"/>
    <s v="Ahmedabad"/>
    <n v="39090.6"/>
    <n v="6405.61"/>
    <x v="2"/>
    <x v="2"/>
  </r>
  <r>
    <n v="336"/>
    <s v="Meera"/>
    <x v="1"/>
    <x v="3"/>
    <x v="15"/>
    <n v="5"/>
    <n v="11514"/>
    <x v="158"/>
    <n v="5"/>
    <x v="4"/>
    <x v="0"/>
    <s v="Ahmedabad"/>
    <n v="54691.5"/>
    <n v="15997.39"/>
    <x v="2"/>
    <x v="0"/>
  </r>
  <r>
    <n v="337"/>
    <s v="Dev"/>
    <x v="1"/>
    <x v="4"/>
    <x v="11"/>
    <n v="10"/>
    <n v="63096"/>
    <x v="94"/>
    <n v="15"/>
    <x v="1"/>
    <x v="2"/>
    <s v="Delhi"/>
    <n v="536316"/>
    <n v="87750.34"/>
    <x v="1"/>
    <x v="0"/>
  </r>
  <r>
    <n v="338"/>
    <s v="Meera"/>
    <x v="2"/>
    <x v="3"/>
    <x v="15"/>
    <n v="8"/>
    <n v="67946"/>
    <x v="16"/>
    <n v="5"/>
    <x v="2"/>
    <x v="3"/>
    <s v="Mumbai"/>
    <n v="516389.6"/>
    <n v="131234.6"/>
    <x v="2"/>
    <x v="0"/>
  </r>
  <r>
    <n v="339"/>
    <s v="Neha"/>
    <x v="3"/>
    <x v="0"/>
    <x v="9"/>
    <n v="6"/>
    <n v="45233"/>
    <x v="207"/>
    <n v="10"/>
    <x v="5"/>
    <x v="2"/>
    <s v="Jaipur"/>
    <n v="244258.2"/>
    <n v="59768.44"/>
    <x v="2"/>
    <x v="1"/>
  </r>
  <r>
    <n v="340"/>
    <s v="Rahul"/>
    <x v="1"/>
    <x v="1"/>
    <x v="4"/>
    <n v="6"/>
    <n v="8946"/>
    <x v="208"/>
    <n v="15"/>
    <x v="1"/>
    <x v="2"/>
    <s v="Surat"/>
    <n v="45624.6"/>
    <n v="8715.57"/>
    <x v="3"/>
    <x v="1"/>
  </r>
  <r>
    <n v="341"/>
    <s v="Arjun"/>
    <x v="3"/>
    <x v="1"/>
    <x v="14"/>
    <n v="7"/>
    <n v="77105"/>
    <x v="123"/>
    <n v="10"/>
    <x v="2"/>
    <x v="3"/>
    <s v="Jaipur"/>
    <n v="485761.5"/>
    <n v="74594.42"/>
    <x v="2"/>
    <x v="1"/>
  </r>
  <r>
    <n v="342"/>
    <s v="Arjun"/>
    <x v="2"/>
    <x v="1"/>
    <x v="1"/>
    <n v="2"/>
    <n v="4002"/>
    <x v="209"/>
    <n v="0"/>
    <x v="1"/>
    <x v="1"/>
    <s v="Ahmedabad"/>
    <n v="8004"/>
    <n v="1997.63"/>
    <x v="2"/>
    <x v="2"/>
  </r>
  <r>
    <n v="343"/>
    <s v="Pooja"/>
    <x v="1"/>
    <x v="1"/>
    <x v="14"/>
    <n v="1"/>
    <n v="73106"/>
    <x v="210"/>
    <n v="5"/>
    <x v="3"/>
    <x v="3"/>
    <s v="Jaipur"/>
    <n v="69450.7"/>
    <n v="10536.46"/>
    <x v="2"/>
    <x v="1"/>
  </r>
  <r>
    <n v="344"/>
    <s v="Isha"/>
    <x v="1"/>
    <x v="4"/>
    <x v="11"/>
    <n v="8"/>
    <n v="49669"/>
    <x v="211"/>
    <n v="5"/>
    <x v="2"/>
    <x v="0"/>
    <s v="Pune"/>
    <n v="377484.4"/>
    <n v="78086.33"/>
    <x v="3"/>
    <x v="2"/>
  </r>
  <r>
    <n v="345"/>
    <s v="Arjun"/>
    <x v="0"/>
    <x v="1"/>
    <x v="1"/>
    <n v="8"/>
    <n v="20266"/>
    <x v="212"/>
    <n v="5"/>
    <x v="3"/>
    <x v="2"/>
    <s v="Delhi"/>
    <n v="154021.6"/>
    <n v="41964.08"/>
    <x v="0"/>
    <x v="2"/>
  </r>
  <r>
    <n v="346"/>
    <s v="Isha"/>
    <x v="2"/>
    <x v="3"/>
    <x v="15"/>
    <n v="9"/>
    <n v="63761"/>
    <x v="213"/>
    <n v="10"/>
    <x v="0"/>
    <x v="0"/>
    <s v="Mumbai"/>
    <n v="516464.1"/>
    <n v="79736.91"/>
    <x v="0"/>
    <x v="0"/>
  </r>
  <r>
    <n v="347"/>
    <s v="Anita"/>
    <x v="2"/>
    <x v="3"/>
    <x v="12"/>
    <n v="8"/>
    <n v="64581"/>
    <x v="214"/>
    <n v="0"/>
    <x v="1"/>
    <x v="2"/>
    <s v="Mumbai"/>
    <n v="516648"/>
    <n v="131621"/>
    <x v="1"/>
    <x v="2"/>
  </r>
  <r>
    <n v="348"/>
    <s v="Dev"/>
    <x v="0"/>
    <x v="1"/>
    <x v="14"/>
    <n v="3"/>
    <n v="35922"/>
    <x v="215"/>
    <n v="0"/>
    <x v="4"/>
    <x v="0"/>
    <s v="Bengaluru"/>
    <n v="107766"/>
    <n v="24433.99"/>
    <x v="0"/>
    <x v="2"/>
  </r>
  <r>
    <n v="349"/>
    <s v="Rahul"/>
    <x v="0"/>
    <x v="0"/>
    <x v="2"/>
    <n v="6"/>
    <n v="39551"/>
    <x v="39"/>
    <n v="5"/>
    <x v="0"/>
    <x v="1"/>
    <s v="Indore"/>
    <n v="225440.7"/>
    <n v="35648.089999999997"/>
    <x v="1"/>
    <x v="1"/>
  </r>
  <r>
    <n v="350"/>
    <s v="Karan"/>
    <x v="0"/>
    <x v="4"/>
    <x v="13"/>
    <n v="1"/>
    <n v="62194"/>
    <x v="216"/>
    <n v="15"/>
    <x v="0"/>
    <x v="1"/>
    <s v="Surat"/>
    <n v="52864.9"/>
    <n v="13433.13"/>
    <x v="0"/>
    <x v="2"/>
  </r>
  <r>
    <n v="351"/>
    <s v="Isha"/>
    <x v="0"/>
    <x v="3"/>
    <x v="12"/>
    <n v="5"/>
    <n v="73947"/>
    <x v="217"/>
    <n v="15"/>
    <x v="0"/>
    <x v="3"/>
    <s v="Bengaluru"/>
    <n v="314274.75"/>
    <n v="76003.81"/>
    <x v="3"/>
    <x v="2"/>
  </r>
  <r>
    <n v="352"/>
    <s v="Priya"/>
    <x v="0"/>
    <x v="3"/>
    <x v="8"/>
    <n v="5"/>
    <n v="5635"/>
    <x v="130"/>
    <n v="0"/>
    <x v="4"/>
    <x v="3"/>
    <s v="Surat"/>
    <n v="28175"/>
    <n v="2938.34"/>
    <x v="3"/>
    <x v="2"/>
  </r>
  <r>
    <n v="353"/>
    <s v="Sneha"/>
    <x v="3"/>
    <x v="2"/>
    <x v="5"/>
    <n v="5"/>
    <n v="23821"/>
    <x v="2"/>
    <n v="0"/>
    <x v="5"/>
    <x v="3"/>
    <s v="Delhi"/>
    <n v="119105"/>
    <n v="13140.41"/>
    <x v="3"/>
    <x v="0"/>
  </r>
  <r>
    <n v="354"/>
    <s v="Karan"/>
    <x v="2"/>
    <x v="1"/>
    <x v="1"/>
    <n v="2"/>
    <n v="46084"/>
    <x v="218"/>
    <n v="20"/>
    <x v="4"/>
    <x v="1"/>
    <s v="Indore"/>
    <n v="73734.399999999994"/>
    <n v="14727.59"/>
    <x v="0"/>
    <x v="0"/>
  </r>
  <r>
    <n v="355"/>
    <s v="Pooja"/>
    <x v="2"/>
    <x v="0"/>
    <x v="7"/>
    <n v="6"/>
    <n v="66124"/>
    <x v="211"/>
    <n v="10"/>
    <x v="4"/>
    <x v="3"/>
    <s v="Bengaluru"/>
    <n v="357069.6"/>
    <n v="101879.25"/>
    <x v="3"/>
    <x v="2"/>
  </r>
  <r>
    <n v="356"/>
    <s v="Rohit"/>
    <x v="2"/>
    <x v="1"/>
    <x v="4"/>
    <n v="8"/>
    <n v="75564"/>
    <x v="219"/>
    <n v="20"/>
    <x v="1"/>
    <x v="0"/>
    <s v="Pune"/>
    <n v="483609.59999999998"/>
    <n v="81497.03"/>
    <x v="3"/>
    <x v="1"/>
  </r>
  <r>
    <n v="357"/>
    <s v="Isha"/>
    <x v="0"/>
    <x v="4"/>
    <x v="10"/>
    <n v="7"/>
    <n v="61540"/>
    <x v="220"/>
    <n v="10"/>
    <x v="3"/>
    <x v="1"/>
    <s v="Delhi"/>
    <n v="387702"/>
    <n v="54849.67"/>
    <x v="1"/>
    <x v="0"/>
  </r>
  <r>
    <n v="358"/>
    <s v="Priya"/>
    <x v="2"/>
    <x v="3"/>
    <x v="8"/>
    <n v="7"/>
    <n v="76107"/>
    <x v="221"/>
    <n v="0"/>
    <x v="1"/>
    <x v="1"/>
    <s v="Jaipur"/>
    <n v="532749"/>
    <n v="89818.5"/>
    <x v="2"/>
    <x v="2"/>
  </r>
  <r>
    <n v="359"/>
    <s v="Vikas"/>
    <x v="0"/>
    <x v="2"/>
    <x v="6"/>
    <n v="9"/>
    <n v="1670"/>
    <x v="222"/>
    <n v="20"/>
    <x v="5"/>
    <x v="3"/>
    <s v="Delhi"/>
    <n v="12024"/>
    <n v="965.89"/>
    <x v="0"/>
    <x v="1"/>
  </r>
  <r>
    <n v="360"/>
    <s v="Vikas"/>
    <x v="3"/>
    <x v="2"/>
    <x v="5"/>
    <n v="3"/>
    <n v="73606"/>
    <x v="0"/>
    <n v="20"/>
    <x v="0"/>
    <x v="3"/>
    <s v="Jaipur"/>
    <n v="176654.4"/>
    <n v="42182.31"/>
    <x v="2"/>
    <x v="2"/>
  </r>
  <r>
    <n v="361"/>
    <s v="Rahul"/>
    <x v="1"/>
    <x v="3"/>
    <x v="8"/>
    <n v="9"/>
    <n v="28463"/>
    <x v="127"/>
    <n v="20"/>
    <x v="2"/>
    <x v="1"/>
    <s v="Jaipur"/>
    <n v="204933.6"/>
    <n v="38649.31"/>
    <x v="0"/>
    <x v="2"/>
  </r>
  <r>
    <n v="362"/>
    <s v="Sneha"/>
    <x v="2"/>
    <x v="3"/>
    <x v="8"/>
    <n v="4"/>
    <n v="14161"/>
    <x v="211"/>
    <n v="0"/>
    <x v="2"/>
    <x v="2"/>
    <s v="Mumbai"/>
    <n v="56644"/>
    <n v="8871.31"/>
    <x v="2"/>
    <x v="2"/>
  </r>
  <r>
    <n v="363"/>
    <s v="Priya"/>
    <x v="0"/>
    <x v="1"/>
    <x v="1"/>
    <n v="2"/>
    <n v="66111"/>
    <x v="161"/>
    <n v="15"/>
    <x v="1"/>
    <x v="1"/>
    <s v="Bengaluru"/>
    <n v="112388.7"/>
    <n v="14529.61"/>
    <x v="0"/>
    <x v="1"/>
  </r>
  <r>
    <n v="364"/>
    <s v="Anita"/>
    <x v="0"/>
    <x v="2"/>
    <x v="6"/>
    <n v="4"/>
    <n v="64529"/>
    <x v="223"/>
    <n v="20"/>
    <x v="3"/>
    <x v="0"/>
    <s v="Surat"/>
    <n v="206492.79999999999"/>
    <n v="48147.1"/>
    <x v="3"/>
    <x v="2"/>
  </r>
  <r>
    <n v="365"/>
    <s v="Arjun"/>
    <x v="2"/>
    <x v="1"/>
    <x v="4"/>
    <n v="6"/>
    <n v="31093"/>
    <x v="224"/>
    <n v="10"/>
    <x v="0"/>
    <x v="2"/>
    <s v="Delhi"/>
    <n v="167902.2"/>
    <n v="22319.11"/>
    <x v="2"/>
    <x v="2"/>
  </r>
  <r>
    <n v="366"/>
    <s v="Aman"/>
    <x v="1"/>
    <x v="4"/>
    <x v="11"/>
    <n v="5"/>
    <n v="74110"/>
    <x v="100"/>
    <n v="0"/>
    <x v="2"/>
    <x v="2"/>
    <s v="Mumbai"/>
    <n v="370550"/>
    <n v="45232.18"/>
    <x v="3"/>
    <x v="2"/>
  </r>
  <r>
    <n v="367"/>
    <s v="Priya"/>
    <x v="1"/>
    <x v="2"/>
    <x v="6"/>
    <n v="7"/>
    <n v="9565"/>
    <x v="225"/>
    <n v="5"/>
    <x v="5"/>
    <x v="1"/>
    <s v="Surat"/>
    <n v="63607.25"/>
    <n v="13026.17"/>
    <x v="2"/>
    <x v="2"/>
  </r>
  <r>
    <n v="368"/>
    <s v="Isha"/>
    <x v="3"/>
    <x v="0"/>
    <x v="0"/>
    <n v="5"/>
    <n v="13303"/>
    <x v="226"/>
    <n v="10"/>
    <x v="5"/>
    <x v="2"/>
    <s v="Bengaluru"/>
    <n v="59863.5"/>
    <n v="13548.91"/>
    <x v="2"/>
    <x v="0"/>
  </r>
  <r>
    <n v="369"/>
    <s v="Neha"/>
    <x v="1"/>
    <x v="0"/>
    <x v="2"/>
    <n v="5"/>
    <n v="42632"/>
    <x v="227"/>
    <n v="0"/>
    <x v="1"/>
    <x v="0"/>
    <s v="Mumbai"/>
    <n v="213160"/>
    <n v="56084.93"/>
    <x v="0"/>
    <x v="1"/>
  </r>
  <r>
    <n v="370"/>
    <s v="Isha"/>
    <x v="3"/>
    <x v="0"/>
    <x v="0"/>
    <n v="8"/>
    <n v="76152"/>
    <x v="228"/>
    <n v="5"/>
    <x v="2"/>
    <x v="2"/>
    <s v="Bengaluru"/>
    <n v="578755.19999999995"/>
    <n v="103053.46"/>
    <x v="1"/>
    <x v="0"/>
  </r>
  <r>
    <n v="371"/>
    <s v="Pooja"/>
    <x v="2"/>
    <x v="2"/>
    <x v="6"/>
    <n v="8"/>
    <n v="23735"/>
    <x v="229"/>
    <n v="0"/>
    <x v="1"/>
    <x v="2"/>
    <s v="Pune"/>
    <n v="189880"/>
    <n v="51783.9"/>
    <x v="3"/>
    <x v="2"/>
  </r>
  <r>
    <n v="372"/>
    <s v="Karan"/>
    <x v="2"/>
    <x v="0"/>
    <x v="2"/>
    <n v="8"/>
    <n v="4092"/>
    <x v="230"/>
    <n v="10"/>
    <x v="4"/>
    <x v="3"/>
    <s v="Ahmedabad"/>
    <n v="29462.400000000001"/>
    <n v="2728.85"/>
    <x v="2"/>
    <x v="2"/>
  </r>
  <r>
    <n v="373"/>
    <s v="Anita"/>
    <x v="0"/>
    <x v="3"/>
    <x v="12"/>
    <n v="4"/>
    <n v="13429"/>
    <x v="103"/>
    <n v="10"/>
    <x v="4"/>
    <x v="2"/>
    <s v="Surat"/>
    <n v="48344.4"/>
    <n v="4438.0200000000004"/>
    <x v="0"/>
    <x v="1"/>
  </r>
  <r>
    <n v="374"/>
    <s v="Aman"/>
    <x v="1"/>
    <x v="2"/>
    <x v="3"/>
    <n v="3"/>
    <n v="64997"/>
    <x v="231"/>
    <n v="5"/>
    <x v="1"/>
    <x v="2"/>
    <s v="Pune"/>
    <n v="185241.45"/>
    <n v="49168.29"/>
    <x v="3"/>
    <x v="2"/>
  </r>
  <r>
    <n v="375"/>
    <s v="Riya"/>
    <x v="2"/>
    <x v="0"/>
    <x v="0"/>
    <n v="1"/>
    <n v="77242"/>
    <x v="232"/>
    <n v="5"/>
    <x v="1"/>
    <x v="0"/>
    <s v="Bengaluru"/>
    <n v="73379.899999999994"/>
    <n v="13536.35"/>
    <x v="2"/>
    <x v="0"/>
  </r>
  <r>
    <n v="376"/>
    <s v="Arjun"/>
    <x v="2"/>
    <x v="3"/>
    <x v="12"/>
    <n v="9"/>
    <n v="48112"/>
    <x v="233"/>
    <n v="10"/>
    <x v="0"/>
    <x v="1"/>
    <s v="Delhi"/>
    <n v="389707.2"/>
    <n v="78698.240000000005"/>
    <x v="1"/>
    <x v="1"/>
  </r>
  <r>
    <n v="377"/>
    <s v="Sneha"/>
    <x v="2"/>
    <x v="1"/>
    <x v="4"/>
    <n v="5"/>
    <n v="78536"/>
    <x v="234"/>
    <n v="20"/>
    <x v="4"/>
    <x v="3"/>
    <s v="Surat"/>
    <n v="314144"/>
    <n v="74230.570000000007"/>
    <x v="3"/>
    <x v="2"/>
  </r>
  <r>
    <n v="378"/>
    <s v="Rohit"/>
    <x v="0"/>
    <x v="4"/>
    <x v="13"/>
    <n v="2"/>
    <n v="14349"/>
    <x v="235"/>
    <n v="5"/>
    <x v="3"/>
    <x v="1"/>
    <s v="Mumbai"/>
    <n v="27263.1"/>
    <n v="4459.75"/>
    <x v="0"/>
    <x v="0"/>
  </r>
  <r>
    <n v="379"/>
    <s v="Pooja"/>
    <x v="0"/>
    <x v="0"/>
    <x v="7"/>
    <n v="10"/>
    <n v="15334"/>
    <x v="236"/>
    <n v="5"/>
    <x v="4"/>
    <x v="2"/>
    <s v="Jaipur"/>
    <n v="145673"/>
    <n v="27044.42"/>
    <x v="2"/>
    <x v="0"/>
  </r>
  <r>
    <n v="380"/>
    <s v="Anita"/>
    <x v="1"/>
    <x v="1"/>
    <x v="4"/>
    <n v="8"/>
    <n v="20210"/>
    <x v="237"/>
    <n v="20"/>
    <x v="4"/>
    <x v="1"/>
    <s v="Pune"/>
    <n v="129344"/>
    <n v="22133.95"/>
    <x v="3"/>
    <x v="2"/>
  </r>
  <r>
    <n v="381"/>
    <s v="Karan"/>
    <x v="1"/>
    <x v="4"/>
    <x v="13"/>
    <n v="1"/>
    <n v="36184"/>
    <x v="112"/>
    <n v="5"/>
    <x v="4"/>
    <x v="3"/>
    <s v="Surat"/>
    <n v="34374.800000000003"/>
    <n v="3633.62"/>
    <x v="0"/>
    <x v="1"/>
  </r>
  <r>
    <n v="382"/>
    <s v="Sneha"/>
    <x v="0"/>
    <x v="0"/>
    <x v="7"/>
    <n v="10"/>
    <n v="28500"/>
    <x v="210"/>
    <n v="20"/>
    <x v="3"/>
    <x v="1"/>
    <s v="Mumbai"/>
    <n v="228000"/>
    <n v="22565.18"/>
    <x v="0"/>
    <x v="2"/>
  </r>
  <r>
    <n v="383"/>
    <s v="Riya"/>
    <x v="2"/>
    <x v="1"/>
    <x v="4"/>
    <n v="6"/>
    <n v="28764"/>
    <x v="238"/>
    <n v="5"/>
    <x v="5"/>
    <x v="2"/>
    <s v="Indore"/>
    <n v="163954.79999999999"/>
    <n v="20854.96"/>
    <x v="0"/>
    <x v="1"/>
  </r>
  <r>
    <n v="384"/>
    <s v="Meera"/>
    <x v="1"/>
    <x v="3"/>
    <x v="12"/>
    <n v="5"/>
    <n v="31187"/>
    <x v="109"/>
    <n v="0"/>
    <x v="0"/>
    <x v="3"/>
    <s v="Bengaluru"/>
    <n v="155935"/>
    <n v="12625.68"/>
    <x v="1"/>
    <x v="2"/>
  </r>
  <r>
    <n v="385"/>
    <s v="Rohit"/>
    <x v="1"/>
    <x v="1"/>
    <x v="1"/>
    <n v="2"/>
    <n v="11856"/>
    <x v="239"/>
    <n v="5"/>
    <x v="5"/>
    <x v="2"/>
    <s v="Delhi"/>
    <n v="22526.400000000001"/>
    <n v="2646.89"/>
    <x v="0"/>
    <x v="1"/>
  </r>
  <r>
    <n v="386"/>
    <s v="Dev"/>
    <x v="2"/>
    <x v="2"/>
    <x v="6"/>
    <n v="9"/>
    <n v="26603"/>
    <x v="240"/>
    <n v="0"/>
    <x v="5"/>
    <x v="2"/>
    <s v="Ahmedabad"/>
    <n v="239427"/>
    <n v="47559.29"/>
    <x v="2"/>
    <x v="2"/>
  </r>
  <r>
    <n v="387"/>
    <s v="Neha"/>
    <x v="3"/>
    <x v="2"/>
    <x v="3"/>
    <n v="2"/>
    <n v="19762"/>
    <x v="241"/>
    <n v="0"/>
    <x v="0"/>
    <x v="3"/>
    <s v="Delhi"/>
    <n v="39524"/>
    <n v="4505.7700000000004"/>
    <x v="3"/>
    <x v="0"/>
  </r>
  <r>
    <n v="388"/>
    <s v="Riya"/>
    <x v="1"/>
    <x v="1"/>
    <x v="1"/>
    <n v="8"/>
    <n v="24383"/>
    <x v="242"/>
    <n v="10"/>
    <x v="0"/>
    <x v="0"/>
    <s v="Bengaluru"/>
    <n v="175557.6"/>
    <n v="47800.77"/>
    <x v="3"/>
    <x v="0"/>
  </r>
  <r>
    <n v="389"/>
    <s v="Rahul"/>
    <x v="0"/>
    <x v="3"/>
    <x v="12"/>
    <n v="10"/>
    <n v="58768"/>
    <x v="243"/>
    <n v="10"/>
    <x v="4"/>
    <x v="2"/>
    <s v="Delhi"/>
    <n v="528912"/>
    <n v="45313.65"/>
    <x v="0"/>
    <x v="1"/>
  </r>
  <r>
    <n v="390"/>
    <s v="Meera"/>
    <x v="2"/>
    <x v="3"/>
    <x v="8"/>
    <n v="1"/>
    <n v="4612"/>
    <x v="11"/>
    <n v="10"/>
    <x v="3"/>
    <x v="3"/>
    <s v="Mumbai"/>
    <n v="4150.8"/>
    <n v="493.51"/>
    <x v="2"/>
    <x v="2"/>
  </r>
  <r>
    <n v="391"/>
    <s v="Dev"/>
    <x v="2"/>
    <x v="2"/>
    <x v="3"/>
    <n v="8"/>
    <n v="29783"/>
    <x v="244"/>
    <n v="0"/>
    <x v="3"/>
    <x v="2"/>
    <s v="Indore"/>
    <n v="238264"/>
    <n v="61414.17"/>
    <x v="0"/>
    <x v="1"/>
  </r>
  <r>
    <n v="392"/>
    <s v="Sneha"/>
    <x v="3"/>
    <x v="0"/>
    <x v="7"/>
    <n v="6"/>
    <n v="51052"/>
    <x v="245"/>
    <n v="10"/>
    <x v="1"/>
    <x v="3"/>
    <s v="Pune"/>
    <n v="275680.8"/>
    <n v="60308.480000000003"/>
    <x v="2"/>
    <x v="0"/>
  </r>
  <r>
    <n v="393"/>
    <s v="Priya"/>
    <x v="1"/>
    <x v="4"/>
    <x v="13"/>
    <n v="9"/>
    <n v="15140"/>
    <x v="246"/>
    <n v="15"/>
    <x v="5"/>
    <x v="1"/>
    <s v="Delhi"/>
    <n v="115821"/>
    <n v="16859.099999999999"/>
    <x v="0"/>
    <x v="1"/>
  </r>
  <r>
    <n v="394"/>
    <s v="Arjun"/>
    <x v="2"/>
    <x v="3"/>
    <x v="12"/>
    <n v="10"/>
    <n v="59247"/>
    <x v="247"/>
    <n v="20"/>
    <x v="3"/>
    <x v="3"/>
    <s v="Indore"/>
    <n v="473976"/>
    <n v="69317.77"/>
    <x v="1"/>
    <x v="0"/>
  </r>
  <r>
    <n v="395"/>
    <s v="Rahul"/>
    <x v="2"/>
    <x v="4"/>
    <x v="11"/>
    <n v="2"/>
    <n v="50882"/>
    <x v="248"/>
    <n v="15"/>
    <x v="2"/>
    <x v="3"/>
    <s v="Mumbai"/>
    <n v="86499.4"/>
    <n v="6946.72"/>
    <x v="2"/>
    <x v="0"/>
  </r>
  <r>
    <n v="396"/>
    <s v="Dev"/>
    <x v="2"/>
    <x v="2"/>
    <x v="3"/>
    <n v="7"/>
    <n v="14619"/>
    <x v="249"/>
    <n v="15"/>
    <x v="4"/>
    <x v="2"/>
    <s v="Delhi"/>
    <n v="86983.05"/>
    <n v="9495.7900000000009"/>
    <x v="1"/>
    <x v="0"/>
  </r>
  <r>
    <n v="397"/>
    <s v="Pooja"/>
    <x v="1"/>
    <x v="2"/>
    <x v="6"/>
    <n v="1"/>
    <n v="1747"/>
    <x v="250"/>
    <n v="10"/>
    <x v="0"/>
    <x v="2"/>
    <s v="Indore"/>
    <n v="1572.3"/>
    <n v="451.16"/>
    <x v="1"/>
    <x v="1"/>
  </r>
  <r>
    <n v="398"/>
    <s v="Meera"/>
    <x v="1"/>
    <x v="4"/>
    <x v="10"/>
    <n v="10"/>
    <n v="32149"/>
    <x v="74"/>
    <n v="20"/>
    <x v="3"/>
    <x v="3"/>
    <s v="Ahmedabad"/>
    <n v="257192"/>
    <n v="23898.82"/>
    <x v="3"/>
    <x v="2"/>
  </r>
  <r>
    <n v="399"/>
    <s v="Priya"/>
    <x v="1"/>
    <x v="4"/>
    <x v="13"/>
    <n v="6"/>
    <n v="50977"/>
    <x v="251"/>
    <n v="0"/>
    <x v="3"/>
    <x v="3"/>
    <s v="Jaipur"/>
    <n v="305862"/>
    <n v="65192.26"/>
    <x v="0"/>
    <x v="1"/>
  </r>
  <r>
    <n v="400"/>
    <s v="Sneha"/>
    <x v="1"/>
    <x v="4"/>
    <x v="11"/>
    <n v="7"/>
    <n v="3038"/>
    <x v="169"/>
    <n v="10"/>
    <x v="2"/>
    <x v="3"/>
    <s v="Surat"/>
    <n v="19139.400000000001"/>
    <n v="4471.8900000000003"/>
    <x v="2"/>
    <x v="2"/>
  </r>
  <r>
    <n v="401"/>
    <s v="Arjun"/>
    <x v="1"/>
    <x v="4"/>
    <x v="13"/>
    <n v="2"/>
    <n v="18053"/>
    <x v="252"/>
    <n v="15"/>
    <x v="5"/>
    <x v="0"/>
    <s v="Ahmedabad"/>
    <n v="30690.1"/>
    <n v="7941.7"/>
    <x v="3"/>
    <x v="1"/>
  </r>
  <r>
    <n v="402"/>
    <s v="Isha"/>
    <x v="0"/>
    <x v="1"/>
    <x v="4"/>
    <n v="6"/>
    <n v="79811"/>
    <x v="161"/>
    <n v="15"/>
    <x v="0"/>
    <x v="3"/>
    <s v="Mumbai"/>
    <n v="407036.1"/>
    <n v="77441.09"/>
    <x v="2"/>
    <x v="0"/>
  </r>
  <r>
    <n v="403"/>
    <s v="Meera"/>
    <x v="0"/>
    <x v="3"/>
    <x v="8"/>
    <n v="1"/>
    <n v="8260"/>
    <x v="253"/>
    <n v="0"/>
    <x v="0"/>
    <x v="0"/>
    <s v="Ahmedabad"/>
    <n v="8260"/>
    <n v="1183.1300000000001"/>
    <x v="0"/>
    <x v="0"/>
  </r>
  <r>
    <n v="404"/>
    <s v="Vikas"/>
    <x v="0"/>
    <x v="0"/>
    <x v="2"/>
    <n v="2"/>
    <n v="66819"/>
    <x v="229"/>
    <n v="5"/>
    <x v="5"/>
    <x v="1"/>
    <s v="Indore"/>
    <n v="126956.1"/>
    <n v="17476.900000000001"/>
    <x v="1"/>
    <x v="2"/>
  </r>
  <r>
    <n v="405"/>
    <s v="Anita"/>
    <x v="2"/>
    <x v="0"/>
    <x v="0"/>
    <n v="7"/>
    <n v="71439"/>
    <x v="254"/>
    <n v="5"/>
    <x v="2"/>
    <x v="1"/>
    <s v="Jaipur"/>
    <n v="475069.35"/>
    <n v="56746.5"/>
    <x v="3"/>
    <x v="1"/>
  </r>
  <r>
    <n v="406"/>
    <s v="Vikas"/>
    <x v="3"/>
    <x v="4"/>
    <x v="11"/>
    <n v="9"/>
    <n v="5634"/>
    <x v="41"/>
    <n v="5"/>
    <x v="0"/>
    <x v="1"/>
    <s v="Jaipur"/>
    <n v="48170.7"/>
    <n v="10271.1"/>
    <x v="0"/>
    <x v="0"/>
  </r>
  <r>
    <n v="407"/>
    <s v="Rahul"/>
    <x v="2"/>
    <x v="0"/>
    <x v="9"/>
    <n v="1"/>
    <n v="66727"/>
    <x v="255"/>
    <n v="0"/>
    <x v="5"/>
    <x v="3"/>
    <s v="Pune"/>
    <n v="66727"/>
    <n v="15665.99"/>
    <x v="0"/>
    <x v="0"/>
  </r>
  <r>
    <n v="408"/>
    <s v="Karan"/>
    <x v="2"/>
    <x v="2"/>
    <x v="5"/>
    <n v="9"/>
    <n v="73176"/>
    <x v="203"/>
    <n v="15"/>
    <x v="3"/>
    <x v="3"/>
    <s v="Bengaluru"/>
    <n v="559796.4"/>
    <n v="143011.21"/>
    <x v="3"/>
    <x v="2"/>
  </r>
  <r>
    <n v="409"/>
    <s v="Rohit"/>
    <x v="1"/>
    <x v="1"/>
    <x v="1"/>
    <n v="10"/>
    <n v="50037"/>
    <x v="256"/>
    <n v="0"/>
    <x v="3"/>
    <x v="1"/>
    <s v="Jaipur"/>
    <n v="500370"/>
    <n v="55929.61"/>
    <x v="3"/>
    <x v="2"/>
  </r>
  <r>
    <n v="410"/>
    <s v="Vikas"/>
    <x v="0"/>
    <x v="4"/>
    <x v="10"/>
    <n v="2"/>
    <n v="23035"/>
    <x v="257"/>
    <n v="15"/>
    <x v="2"/>
    <x v="3"/>
    <s v="Pune"/>
    <n v="39159.5"/>
    <n v="10837.92"/>
    <x v="2"/>
    <x v="1"/>
  </r>
  <r>
    <n v="411"/>
    <s v="Meera"/>
    <x v="2"/>
    <x v="4"/>
    <x v="11"/>
    <n v="2"/>
    <n v="43533"/>
    <x v="16"/>
    <n v="20"/>
    <x v="5"/>
    <x v="1"/>
    <s v="Ahmedabad"/>
    <n v="69652.800000000003"/>
    <n v="10864.66"/>
    <x v="2"/>
    <x v="0"/>
  </r>
  <r>
    <n v="412"/>
    <s v="Karan"/>
    <x v="0"/>
    <x v="0"/>
    <x v="2"/>
    <n v="3"/>
    <n v="59106"/>
    <x v="258"/>
    <n v="0"/>
    <x v="1"/>
    <x v="1"/>
    <s v="Surat"/>
    <n v="177318"/>
    <n v="28180.17"/>
    <x v="2"/>
    <x v="2"/>
  </r>
  <r>
    <n v="413"/>
    <s v="Priya"/>
    <x v="3"/>
    <x v="0"/>
    <x v="7"/>
    <n v="10"/>
    <n v="68546"/>
    <x v="259"/>
    <n v="0"/>
    <x v="4"/>
    <x v="1"/>
    <s v="Jaipur"/>
    <n v="685460"/>
    <n v="66150.77"/>
    <x v="2"/>
    <x v="0"/>
  </r>
  <r>
    <n v="414"/>
    <s v="Rahul"/>
    <x v="2"/>
    <x v="4"/>
    <x v="11"/>
    <n v="3"/>
    <n v="70107"/>
    <x v="56"/>
    <n v="0"/>
    <x v="4"/>
    <x v="0"/>
    <s v="Ahmedabad"/>
    <n v="210321"/>
    <n v="61677.73"/>
    <x v="2"/>
    <x v="1"/>
  </r>
  <r>
    <n v="415"/>
    <s v="Rahul"/>
    <x v="2"/>
    <x v="4"/>
    <x v="13"/>
    <n v="1"/>
    <n v="33345"/>
    <x v="260"/>
    <n v="15"/>
    <x v="5"/>
    <x v="1"/>
    <s v="Bengaluru"/>
    <n v="28343.25"/>
    <n v="6528.6"/>
    <x v="3"/>
    <x v="1"/>
  </r>
  <r>
    <n v="416"/>
    <s v="Riya"/>
    <x v="0"/>
    <x v="4"/>
    <x v="10"/>
    <n v="2"/>
    <n v="55197"/>
    <x v="261"/>
    <n v="5"/>
    <x v="3"/>
    <x v="3"/>
    <s v="Surat"/>
    <n v="104874.3"/>
    <n v="28664.26"/>
    <x v="1"/>
    <x v="1"/>
  </r>
  <r>
    <n v="417"/>
    <s v="Riya"/>
    <x v="1"/>
    <x v="0"/>
    <x v="7"/>
    <n v="7"/>
    <n v="44539"/>
    <x v="262"/>
    <n v="10"/>
    <x v="0"/>
    <x v="3"/>
    <s v="Mumbai"/>
    <n v="280595.7"/>
    <n v="32213.38"/>
    <x v="2"/>
    <x v="0"/>
  </r>
  <r>
    <n v="418"/>
    <s v="Neha"/>
    <x v="2"/>
    <x v="0"/>
    <x v="0"/>
    <n v="4"/>
    <n v="29736"/>
    <x v="263"/>
    <n v="10"/>
    <x v="0"/>
    <x v="3"/>
    <s v="Surat"/>
    <n v="107049.60000000001"/>
    <n v="30880.81"/>
    <x v="2"/>
    <x v="0"/>
  </r>
  <r>
    <n v="419"/>
    <s v="Arjun"/>
    <x v="0"/>
    <x v="0"/>
    <x v="2"/>
    <n v="6"/>
    <n v="4400"/>
    <x v="264"/>
    <n v="20"/>
    <x v="3"/>
    <x v="0"/>
    <s v="Bengaluru"/>
    <n v="21120"/>
    <n v="5969.11"/>
    <x v="1"/>
    <x v="1"/>
  </r>
  <r>
    <n v="420"/>
    <s v="Riya"/>
    <x v="0"/>
    <x v="1"/>
    <x v="4"/>
    <n v="9"/>
    <n v="11640"/>
    <x v="265"/>
    <n v="15"/>
    <x v="1"/>
    <x v="1"/>
    <s v="Mumbai"/>
    <n v="89046"/>
    <n v="7947.99"/>
    <x v="2"/>
    <x v="1"/>
  </r>
  <r>
    <n v="421"/>
    <s v="Dev"/>
    <x v="1"/>
    <x v="2"/>
    <x v="3"/>
    <n v="6"/>
    <n v="45661"/>
    <x v="55"/>
    <n v="0"/>
    <x v="3"/>
    <x v="2"/>
    <s v="Bengaluru"/>
    <n v="273966"/>
    <n v="46335.94"/>
    <x v="1"/>
    <x v="1"/>
  </r>
  <r>
    <n v="422"/>
    <s v="Isha"/>
    <x v="0"/>
    <x v="0"/>
    <x v="0"/>
    <n v="5"/>
    <n v="51797"/>
    <x v="266"/>
    <n v="10"/>
    <x v="4"/>
    <x v="0"/>
    <s v="Bengaluru"/>
    <n v="233086.5"/>
    <n v="40956.769999999997"/>
    <x v="0"/>
    <x v="1"/>
  </r>
  <r>
    <n v="423"/>
    <s v="Meera"/>
    <x v="0"/>
    <x v="1"/>
    <x v="14"/>
    <n v="9"/>
    <n v="16664"/>
    <x v="96"/>
    <n v="15"/>
    <x v="3"/>
    <x v="0"/>
    <s v="Bengaluru"/>
    <n v="127479.6"/>
    <n v="33047.599999999999"/>
    <x v="3"/>
    <x v="2"/>
  </r>
  <r>
    <n v="424"/>
    <s v="Aman"/>
    <x v="3"/>
    <x v="2"/>
    <x v="6"/>
    <n v="5"/>
    <n v="1095"/>
    <x v="14"/>
    <n v="10"/>
    <x v="5"/>
    <x v="3"/>
    <s v="Ahmedabad"/>
    <n v="4927.5"/>
    <n v="1210.57"/>
    <x v="2"/>
    <x v="2"/>
  </r>
  <r>
    <n v="425"/>
    <s v="Riya"/>
    <x v="2"/>
    <x v="2"/>
    <x v="5"/>
    <n v="2"/>
    <n v="74837"/>
    <x v="267"/>
    <n v="15"/>
    <x v="2"/>
    <x v="0"/>
    <s v="Indore"/>
    <n v="127222.9"/>
    <n v="32472.09"/>
    <x v="1"/>
    <x v="2"/>
  </r>
  <r>
    <n v="426"/>
    <s v="Aman"/>
    <x v="0"/>
    <x v="3"/>
    <x v="15"/>
    <n v="10"/>
    <n v="77682"/>
    <x v="122"/>
    <n v="5"/>
    <x v="1"/>
    <x v="3"/>
    <s v="Mumbai"/>
    <n v="737979"/>
    <n v="167641.99"/>
    <x v="1"/>
    <x v="2"/>
  </r>
  <r>
    <n v="427"/>
    <s v="Neha"/>
    <x v="2"/>
    <x v="2"/>
    <x v="6"/>
    <n v="10"/>
    <n v="79973"/>
    <x v="268"/>
    <n v="5"/>
    <x v="2"/>
    <x v="3"/>
    <s v="Indore"/>
    <n v="759743.5"/>
    <n v="186713.98"/>
    <x v="1"/>
    <x v="2"/>
  </r>
  <r>
    <n v="428"/>
    <s v="Vikas"/>
    <x v="1"/>
    <x v="0"/>
    <x v="2"/>
    <n v="8"/>
    <n v="51267"/>
    <x v="269"/>
    <n v="20"/>
    <x v="3"/>
    <x v="1"/>
    <s v="Bengaluru"/>
    <n v="328108.79999999999"/>
    <n v="90252.06"/>
    <x v="1"/>
    <x v="1"/>
  </r>
  <r>
    <n v="429"/>
    <s v="Vikas"/>
    <x v="1"/>
    <x v="0"/>
    <x v="7"/>
    <n v="5"/>
    <n v="20990"/>
    <x v="270"/>
    <n v="0"/>
    <x v="3"/>
    <x v="0"/>
    <s v="Delhi"/>
    <n v="104950"/>
    <n v="25799.22"/>
    <x v="1"/>
    <x v="1"/>
  </r>
  <r>
    <n v="430"/>
    <s v="Vikas"/>
    <x v="3"/>
    <x v="2"/>
    <x v="6"/>
    <n v="1"/>
    <n v="10027"/>
    <x v="271"/>
    <n v="20"/>
    <x v="4"/>
    <x v="2"/>
    <s v="Indore"/>
    <n v="8021.6"/>
    <n v="731.28"/>
    <x v="1"/>
    <x v="1"/>
  </r>
  <r>
    <n v="431"/>
    <s v="Rahul"/>
    <x v="3"/>
    <x v="0"/>
    <x v="7"/>
    <n v="5"/>
    <n v="40150"/>
    <x v="272"/>
    <n v="20"/>
    <x v="2"/>
    <x v="3"/>
    <s v="Jaipur"/>
    <n v="160600"/>
    <n v="45444.959999999999"/>
    <x v="1"/>
    <x v="0"/>
  </r>
  <r>
    <n v="432"/>
    <s v="Riya"/>
    <x v="3"/>
    <x v="3"/>
    <x v="15"/>
    <n v="2"/>
    <n v="32177"/>
    <x v="155"/>
    <n v="10"/>
    <x v="3"/>
    <x v="1"/>
    <s v="Bengaluru"/>
    <n v="57918.6"/>
    <n v="7974.67"/>
    <x v="0"/>
    <x v="0"/>
  </r>
  <r>
    <n v="433"/>
    <s v="Karan"/>
    <x v="0"/>
    <x v="0"/>
    <x v="0"/>
    <n v="9"/>
    <n v="58549"/>
    <x v="273"/>
    <n v="10"/>
    <x v="1"/>
    <x v="3"/>
    <s v="Surat"/>
    <n v="474246.9"/>
    <n v="140261.01"/>
    <x v="1"/>
    <x v="0"/>
  </r>
  <r>
    <n v="434"/>
    <s v="Dev"/>
    <x v="0"/>
    <x v="1"/>
    <x v="1"/>
    <n v="7"/>
    <n v="41270"/>
    <x v="274"/>
    <n v="20"/>
    <x v="0"/>
    <x v="1"/>
    <s v="Bengaluru"/>
    <n v="231112"/>
    <n v="20939.41"/>
    <x v="3"/>
    <x v="1"/>
  </r>
  <r>
    <n v="435"/>
    <s v="Arjun"/>
    <x v="0"/>
    <x v="4"/>
    <x v="11"/>
    <n v="10"/>
    <n v="24855"/>
    <x v="266"/>
    <n v="15"/>
    <x v="4"/>
    <x v="1"/>
    <s v="Delhi"/>
    <n v="211267.5"/>
    <n v="51048.79"/>
    <x v="2"/>
    <x v="2"/>
  </r>
  <r>
    <n v="436"/>
    <s v="Rahul"/>
    <x v="3"/>
    <x v="1"/>
    <x v="14"/>
    <n v="3"/>
    <n v="67462"/>
    <x v="275"/>
    <n v="15"/>
    <x v="1"/>
    <x v="1"/>
    <s v="Bengaluru"/>
    <n v="172028.1"/>
    <n v="29575.91"/>
    <x v="0"/>
    <x v="0"/>
  </r>
  <r>
    <n v="437"/>
    <s v="Rohit"/>
    <x v="3"/>
    <x v="4"/>
    <x v="13"/>
    <n v="5"/>
    <n v="1444"/>
    <x v="276"/>
    <n v="20"/>
    <x v="3"/>
    <x v="1"/>
    <s v="Surat"/>
    <n v="5776"/>
    <n v="535.04"/>
    <x v="2"/>
    <x v="2"/>
  </r>
  <r>
    <n v="438"/>
    <s v="Pooja"/>
    <x v="3"/>
    <x v="0"/>
    <x v="7"/>
    <n v="8"/>
    <n v="43740"/>
    <x v="277"/>
    <n v="5"/>
    <x v="3"/>
    <x v="3"/>
    <s v="Bengaluru"/>
    <n v="332424"/>
    <n v="32815.730000000003"/>
    <x v="2"/>
    <x v="2"/>
  </r>
  <r>
    <n v="439"/>
    <s v="Rahul"/>
    <x v="2"/>
    <x v="4"/>
    <x v="13"/>
    <n v="8"/>
    <n v="27637"/>
    <x v="278"/>
    <n v="20"/>
    <x v="3"/>
    <x v="1"/>
    <s v="Pune"/>
    <n v="176876.79999999999"/>
    <n v="32037.43"/>
    <x v="0"/>
    <x v="0"/>
  </r>
  <r>
    <n v="440"/>
    <s v="Riya"/>
    <x v="0"/>
    <x v="0"/>
    <x v="2"/>
    <n v="10"/>
    <n v="57484"/>
    <x v="279"/>
    <n v="5"/>
    <x v="2"/>
    <x v="1"/>
    <s v="Delhi"/>
    <n v="546098"/>
    <n v="110911.51"/>
    <x v="0"/>
    <x v="0"/>
  </r>
  <r>
    <n v="441"/>
    <s v="Riya"/>
    <x v="1"/>
    <x v="2"/>
    <x v="6"/>
    <n v="1"/>
    <n v="77726"/>
    <x v="280"/>
    <n v="20"/>
    <x v="5"/>
    <x v="1"/>
    <s v="Jaipur"/>
    <n v="62180.800000000003"/>
    <n v="7872.05"/>
    <x v="0"/>
    <x v="0"/>
  </r>
  <r>
    <n v="442"/>
    <s v="Pooja"/>
    <x v="0"/>
    <x v="4"/>
    <x v="10"/>
    <n v="6"/>
    <n v="49814"/>
    <x v="12"/>
    <n v="0"/>
    <x v="1"/>
    <x v="2"/>
    <s v="Jaipur"/>
    <n v="298884"/>
    <n v="63060.11"/>
    <x v="3"/>
    <x v="0"/>
  </r>
  <r>
    <n v="443"/>
    <s v="Meera"/>
    <x v="0"/>
    <x v="4"/>
    <x v="13"/>
    <n v="9"/>
    <n v="73065"/>
    <x v="273"/>
    <n v="5"/>
    <x v="1"/>
    <x v="1"/>
    <s v="Mumbai"/>
    <n v="624705.75"/>
    <n v="139104.17000000001"/>
    <x v="2"/>
    <x v="1"/>
  </r>
  <r>
    <n v="444"/>
    <s v="Rohit"/>
    <x v="1"/>
    <x v="3"/>
    <x v="8"/>
    <n v="10"/>
    <n v="19593"/>
    <x v="53"/>
    <n v="15"/>
    <x v="3"/>
    <x v="3"/>
    <s v="Mumbai"/>
    <n v="166540.5"/>
    <n v="46066.39"/>
    <x v="1"/>
    <x v="0"/>
  </r>
  <r>
    <n v="445"/>
    <s v="Anita"/>
    <x v="0"/>
    <x v="4"/>
    <x v="11"/>
    <n v="2"/>
    <n v="72831"/>
    <x v="281"/>
    <n v="0"/>
    <x v="4"/>
    <x v="2"/>
    <s v="Ahmedabad"/>
    <n v="145662"/>
    <n v="18733.39"/>
    <x v="2"/>
    <x v="2"/>
  </r>
  <r>
    <n v="446"/>
    <s v="Pooja"/>
    <x v="2"/>
    <x v="0"/>
    <x v="0"/>
    <n v="8"/>
    <n v="25296"/>
    <x v="106"/>
    <n v="0"/>
    <x v="3"/>
    <x v="2"/>
    <s v="Delhi"/>
    <n v="202368"/>
    <n v="23724.77"/>
    <x v="2"/>
    <x v="1"/>
  </r>
  <r>
    <n v="447"/>
    <s v="Dev"/>
    <x v="0"/>
    <x v="2"/>
    <x v="3"/>
    <n v="10"/>
    <n v="77556"/>
    <x v="282"/>
    <n v="5"/>
    <x v="4"/>
    <x v="3"/>
    <s v="Surat"/>
    <n v="736782"/>
    <n v="59866.96"/>
    <x v="1"/>
    <x v="0"/>
  </r>
  <r>
    <n v="448"/>
    <s v="Sneha"/>
    <x v="3"/>
    <x v="1"/>
    <x v="4"/>
    <n v="10"/>
    <n v="51312"/>
    <x v="283"/>
    <n v="20"/>
    <x v="3"/>
    <x v="3"/>
    <s v="Ahmedabad"/>
    <n v="410496"/>
    <n v="91802.3"/>
    <x v="2"/>
    <x v="1"/>
  </r>
  <r>
    <n v="449"/>
    <s v="Aman"/>
    <x v="0"/>
    <x v="2"/>
    <x v="5"/>
    <n v="10"/>
    <n v="65893"/>
    <x v="224"/>
    <n v="20"/>
    <x v="4"/>
    <x v="3"/>
    <s v="Ahmedabad"/>
    <n v="527144"/>
    <n v="143386.82999999999"/>
    <x v="3"/>
    <x v="0"/>
  </r>
  <r>
    <n v="450"/>
    <s v="Aman"/>
    <x v="2"/>
    <x v="4"/>
    <x v="11"/>
    <n v="7"/>
    <n v="2130"/>
    <x v="284"/>
    <n v="20"/>
    <x v="4"/>
    <x v="1"/>
    <s v="Delhi"/>
    <n v="11928"/>
    <n v="1940.5"/>
    <x v="2"/>
    <x v="0"/>
  </r>
  <r>
    <n v="451"/>
    <s v="Karan"/>
    <x v="1"/>
    <x v="2"/>
    <x v="3"/>
    <n v="3"/>
    <n v="40509"/>
    <x v="285"/>
    <n v="5"/>
    <x v="0"/>
    <x v="2"/>
    <s v="Indore"/>
    <n v="115450.65"/>
    <n v="33890.25"/>
    <x v="2"/>
    <x v="1"/>
  </r>
  <r>
    <n v="452"/>
    <s v="Isha"/>
    <x v="2"/>
    <x v="2"/>
    <x v="5"/>
    <n v="3"/>
    <n v="20656"/>
    <x v="190"/>
    <n v="15"/>
    <x v="0"/>
    <x v="1"/>
    <s v="Surat"/>
    <n v="52672.800000000003"/>
    <n v="6146.87"/>
    <x v="3"/>
    <x v="0"/>
  </r>
  <r>
    <n v="453"/>
    <s v="Pooja"/>
    <x v="0"/>
    <x v="3"/>
    <x v="8"/>
    <n v="3"/>
    <n v="10329"/>
    <x v="286"/>
    <n v="15"/>
    <x v="0"/>
    <x v="2"/>
    <s v="Bengaluru"/>
    <n v="26338.95"/>
    <n v="5261.04"/>
    <x v="2"/>
    <x v="0"/>
  </r>
  <r>
    <n v="454"/>
    <s v="Meera"/>
    <x v="2"/>
    <x v="1"/>
    <x v="1"/>
    <n v="5"/>
    <n v="6710"/>
    <x v="261"/>
    <n v="20"/>
    <x v="3"/>
    <x v="1"/>
    <s v="Mumbai"/>
    <n v="26840"/>
    <n v="6910.38"/>
    <x v="2"/>
    <x v="1"/>
  </r>
  <r>
    <n v="455"/>
    <s v="Sneha"/>
    <x v="1"/>
    <x v="4"/>
    <x v="13"/>
    <n v="9"/>
    <n v="56363"/>
    <x v="287"/>
    <n v="15"/>
    <x v="5"/>
    <x v="1"/>
    <s v="Indore"/>
    <n v="431176.95"/>
    <n v="41172.28"/>
    <x v="0"/>
    <x v="0"/>
  </r>
  <r>
    <n v="456"/>
    <s v="Riya"/>
    <x v="0"/>
    <x v="3"/>
    <x v="15"/>
    <n v="9"/>
    <n v="65763"/>
    <x v="128"/>
    <n v="5"/>
    <x v="4"/>
    <x v="2"/>
    <s v="Bengaluru"/>
    <n v="562273.65"/>
    <n v="85292.84"/>
    <x v="1"/>
    <x v="2"/>
  </r>
  <r>
    <n v="457"/>
    <s v="Dev"/>
    <x v="3"/>
    <x v="3"/>
    <x v="12"/>
    <n v="5"/>
    <n v="11962"/>
    <x v="288"/>
    <n v="10"/>
    <x v="4"/>
    <x v="3"/>
    <s v="Bengaluru"/>
    <n v="53829"/>
    <n v="7539.09"/>
    <x v="2"/>
    <x v="2"/>
  </r>
  <r>
    <n v="458"/>
    <s v="Meera"/>
    <x v="1"/>
    <x v="2"/>
    <x v="5"/>
    <n v="4"/>
    <n v="49971"/>
    <x v="110"/>
    <n v="20"/>
    <x v="2"/>
    <x v="2"/>
    <s v="Jaipur"/>
    <n v="159907.20000000001"/>
    <n v="24575.05"/>
    <x v="3"/>
    <x v="2"/>
  </r>
  <r>
    <n v="459"/>
    <s v="Aman"/>
    <x v="2"/>
    <x v="3"/>
    <x v="15"/>
    <n v="2"/>
    <n v="41389"/>
    <x v="90"/>
    <n v="0"/>
    <x v="4"/>
    <x v="2"/>
    <s v="Bengaluru"/>
    <n v="82778"/>
    <n v="9588.1"/>
    <x v="0"/>
    <x v="0"/>
  </r>
  <r>
    <n v="460"/>
    <s v="Vikas"/>
    <x v="1"/>
    <x v="3"/>
    <x v="15"/>
    <n v="2"/>
    <n v="70827"/>
    <x v="289"/>
    <n v="15"/>
    <x v="4"/>
    <x v="0"/>
    <s v="Ahmedabad"/>
    <n v="120405.9"/>
    <n v="35644.629999999997"/>
    <x v="2"/>
    <x v="2"/>
  </r>
  <r>
    <n v="461"/>
    <s v="Neha"/>
    <x v="3"/>
    <x v="2"/>
    <x v="5"/>
    <n v="9"/>
    <n v="54043"/>
    <x v="290"/>
    <n v="5"/>
    <x v="5"/>
    <x v="2"/>
    <s v="Bengaluru"/>
    <n v="462067.65"/>
    <n v="100483.11"/>
    <x v="2"/>
    <x v="0"/>
  </r>
  <r>
    <n v="462"/>
    <s v="Vikas"/>
    <x v="1"/>
    <x v="1"/>
    <x v="4"/>
    <n v="5"/>
    <n v="47177"/>
    <x v="100"/>
    <n v="20"/>
    <x v="0"/>
    <x v="0"/>
    <s v="Jaipur"/>
    <n v="188708"/>
    <n v="51338.38"/>
    <x v="1"/>
    <x v="0"/>
  </r>
  <r>
    <n v="463"/>
    <s v="Karan"/>
    <x v="3"/>
    <x v="4"/>
    <x v="10"/>
    <n v="3"/>
    <n v="10360"/>
    <x v="152"/>
    <n v="5"/>
    <x v="2"/>
    <x v="2"/>
    <s v="Delhi"/>
    <n v="29526"/>
    <n v="7742.9"/>
    <x v="0"/>
    <x v="1"/>
  </r>
  <r>
    <n v="464"/>
    <s v="Sneha"/>
    <x v="1"/>
    <x v="0"/>
    <x v="9"/>
    <n v="5"/>
    <n v="55902"/>
    <x v="291"/>
    <n v="15"/>
    <x v="3"/>
    <x v="0"/>
    <s v="Delhi"/>
    <n v="237583.5"/>
    <n v="46524.72"/>
    <x v="2"/>
    <x v="2"/>
  </r>
  <r>
    <n v="465"/>
    <s v="Pooja"/>
    <x v="3"/>
    <x v="4"/>
    <x v="13"/>
    <n v="7"/>
    <n v="49884"/>
    <x v="292"/>
    <n v="15"/>
    <x v="5"/>
    <x v="3"/>
    <s v="Delhi"/>
    <n v="296809.8"/>
    <n v="51395.4"/>
    <x v="2"/>
    <x v="2"/>
  </r>
  <r>
    <n v="466"/>
    <s v="Arjun"/>
    <x v="2"/>
    <x v="3"/>
    <x v="8"/>
    <n v="3"/>
    <n v="9164"/>
    <x v="63"/>
    <n v="10"/>
    <x v="4"/>
    <x v="2"/>
    <s v="Jaipur"/>
    <n v="24742.799999999999"/>
    <n v="6264.66"/>
    <x v="2"/>
    <x v="1"/>
  </r>
  <r>
    <n v="467"/>
    <s v="Aman"/>
    <x v="1"/>
    <x v="1"/>
    <x v="14"/>
    <n v="6"/>
    <n v="78325"/>
    <x v="293"/>
    <n v="5"/>
    <x v="1"/>
    <x v="0"/>
    <s v="Indore"/>
    <n v="446452.5"/>
    <n v="127531.62"/>
    <x v="0"/>
    <x v="2"/>
  </r>
  <r>
    <n v="468"/>
    <s v="Vikas"/>
    <x v="0"/>
    <x v="4"/>
    <x v="13"/>
    <n v="2"/>
    <n v="65872"/>
    <x v="15"/>
    <n v="0"/>
    <x v="5"/>
    <x v="2"/>
    <s v="Indore"/>
    <n v="131744"/>
    <n v="22040.06"/>
    <x v="1"/>
    <x v="1"/>
  </r>
  <r>
    <n v="469"/>
    <s v="Neha"/>
    <x v="0"/>
    <x v="1"/>
    <x v="4"/>
    <n v="3"/>
    <n v="61681"/>
    <x v="294"/>
    <n v="15"/>
    <x v="5"/>
    <x v="2"/>
    <s v="Jaipur"/>
    <n v="157286.54999999999"/>
    <n v="21344.06"/>
    <x v="3"/>
    <x v="0"/>
  </r>
  <r>
    <n v="470"/>
    <s v="Arjun"/>
    <x v="1"/>
    <x v="0"/>
    <x v="2"/>
    <n v="7"/>
    <n v="72769"/>
    <x v="295"/>
    <n v="0"/>
    <x v="3"/>
    <x v="2"/>
    <s v="Surat"/>
    <n v="509383"/>
    <n v="139492.39000000001"/>
    <x v="3"/>
    <x v="1"/>
  </r>
  <r>
    <n v="471"/>
    <s v="Arjun"/>
    <x v="0"/>
    <x v="2"/>
    <x v="5"/>
    <n v="1"/>
    <n v="74218"/>
    <x v="296"/>
    <n v="20"/>
    <x v="0"/>
    <x v="2"/>
    <s v="Indore"/>
    <n v="59374.400000000001"/>
    <n v="13253.89"/>
    <x v="3"/>
    <x v="1"/>
  </r>
  <r>
    <n v="472"/>
    <s v="Sneha"/>
    <x v="3"/>
    <x v="1"/>
    <x v="4"/>
    <n v="1"/>
    <n v="17171"/>
    <x v="297"/>
    <n v="0"/>
    <x v="0"/>
    <x v="3"/>
    <s v="Surat"/>
    <n v="17171"/>
    <n v="4686.29"/>
    <x v="3"/>
    <x v="1"/>
  </r>
  <r>
    <n v="473"/>
    <s v="Rahul"/>
    <x v="0"/>
    <x v="1"/>
    <x v="4"/>
    <n v="8"/>
    <n v="22140"/>
    <x v="119"/>
    <n v="15"/>
    <x v="0"/>
    <x v="1"/>
    <s v="Pune"/>
    <n v="150552"/>
    <n v="31947.05"/>
    <x v="1"/>
    <x v="2"/>
  </r>
  <r>
    <n v="474"/>
    <s v="Sneha"/>
    <x v="1"/>
    <x v="3"/>
    <x v="15"/>
    <n v="4"/>
    <n v="41816"/>
    <x v="147"/>
    <n v="15"/>
    <x v="2"/>
    <x v="0"/>
    <s v="Ahmedabad"/>
    <n v="142174.39999999999"/>
    <n v="34807.269999999997"/>
    <x v="2"/>
    <x v="1"/>
  </r>
  <r>
    <n v="475"/>
    <s v="Neha"/>
    <x v="1"/>
    <x v="4"/>
    <x v="13"/>
    <n v="7"/>
    <n v="54886"/>
    <x v="298"/>
    <n v="5"/>
    <x v="2"/>
    <x v="2"/>
    <s v="Mumbai"/>
    <n v="364991.9"/>
    <n v="40276.550000000003"/>
    <x v="2"/>
    <x v="0"/>
  </r>
  <r>
    <n v="476"/>
    <s v="Aman"/>
    <x v="0"/>
    <x v="0"/>
    <x v="2"/>
    <n v="9"/>
    <n v="11083"/>
    <x v="299"/>
    <n v="15"/>
    <x v="4"/>
    <x v="2"/>
    <s v="Surat"/>
    <n v="84784.95"/>
    <n v="23715.17"/>
    <x v="2"/>
    <x v="1"/>
  </r>
  <r>
    <n v="477"/>
    <s v="Priya"/>
    <x v="0"/>
    <x v="1"/>
    <x v="4"/>
    <n v="1"/>
    <n v="23819"/>
    <x v="108"/>
    <n v="15"/>
    <x v="1"/>
    <x v="0"/>
    <s v="Ahmedabad"/>
    <n v="20246.150000000001"/>
    <n v="5516.35"/>
    <x v="0"/>
    <x v="1"/>
  </r>
  <r>
    <n v="478"/>
    <s v="Vikas"/>
    <x v="2"/>
    <x v="2"/>
    <x v="6"/>
    <n v="7"/>
    <n v="7127"/>
    <x v="49"/>
    <n v="5"/>
    <x v="1"/>
    <x v="0"/>
    <s v="Surat"/>
    <n v="47394.55"/>
    <n v="10109.43"/>
    <x v="3"/>
    <x v="1"/>
  </r>
  <r>
    <n v="479"/>
    <s v="Priya"/>
    <x v="1"/>
    <x v="1"/>
    <x v="14"/>
    <n v="2"/>
    <n v="25187"/>
    <x v="35"/>
    <n v="5"/>
    <x v="3"/>
    <x v="1"/>
    <s v="Pune"/>
    <n v="47855.3"/>
    <n v="11845.28"/>
    <x v="3"/>
    <x v="1"/>
  </r>
  <r>
    <n v="480"/>
    <s v="Pooja"/>
    <x v="0"/>
    <x v="4"/>
    <x v="11"/>
    <n v="9"/>
    <n v="37585"/>
    <x v="267"/>
    <n v="10"/>
    <x v="1"/>
    <x v="1"/>
    <s v="Delhi"/>
    <n v="304438.5"/>
    <n v="29730.11"/>
    <x v="1"/>
    <x v="0"/>
  </r>
  <r>
    <n v="481"/>
    <s v="Sneha"/>
    <x v="2"/>
    <x v="4"/>
    <x v="10"/>
    <n v="8"/>
    <n v="9187"/>
    <x v="111"/>
    <n v="5"/>
    <x v="3"/>
    <x v="1"/>
    <s v="Mumbai"/>
    <n v="69821.2"/>
    <n v="12629.63"/>
    <x v="3"/>
    <x v="1"/>
  </r>
  <r>
    <n v="482"/>
    <s v="Riya"/>
    <x v="0"/>
    <x v="0"/>
    <x v="0"/>
    <n v="6"/>
    <n v="43891"/>
    <x v="300"/>
    <n v="15"/>
    <x v="0"/>
    <x v="2"/>
    <s v="Bengaluru"/>
    <n v="223844.1"/>
    <n v="58724.73"/>
    <x v="2"/>
    <x v="0"/>
  </r>
  <r>
    <n v="483"/>
    <s v="Karan"/>
    <x v="3"/>
    <x v="4"/>
    <x v="11"/>
    <n v="2"/>
    <n v="45497"/>
    <x v="301"/>
    <n v="5"/>
    <x v="4"/>
    <x v="3"/>
    <s v="Bengaluru"/>
    <n v="86444.3"/>
    <n v="7177.3"/>
    <x v="0"/>
    <x v="1"/>
  </r>
  <r>
    <n v="484"/>
    <s v="Rohit"/>
    <x v="2"/>
    <x v="4"/>
    <x v="11"/>
    <n v="8"/>
    <n v="27548"/>
    <x v="148"/>
    <n v="0"/>
    <x v="4"/>
    <x v="0"/>
    <s v="Ahmedabad"/>
    <n v="220384"/>
    <n v="31514.69"/>
    <x v="1"/>
    <x v="1"/>
  </r>
  <r>
    <n v="485"/>
    <s v="Sneha"/>
    <x v="3"/>
    <x v="4"/>
    <x v="13"/>
    <n v="7"/>
    <n v="57082"/>
    <x v="302"/>
    <n v="15"/>
    <x v="0"/>
    <x v="1"/>
    <s v="Jaipur"/>
    <n v="339637.9"/>
    <n v="65747.149999999994"/>
    <x v="2"/>
    <x v="0"/>
  </r>
  <r>
    <n v="486"/>
    <s v="Sneha"/>
    <x v="0"/>
    <x v="3"/>
    <x v="15"/>
    <n v="4"/>
    <n v="55587"/>
    <x v="303"/>
    <n v="0"/>
    <x v="4"/>
    <x v="2"/>
    <s v="Mumbai"/>
    <n v="222348"/>
    <n v="59563.13"/>
    <x v="1"/>
    <x v="1"/>
  </r>
  <r>
    <n v="487"/>
    <s v="Riya"/>
    <x v="3"/>
    <x v="0"/>
    <x v="2"/>
    <n v="3"/>
    <n v="58040"/>
    <x v="125"/>
    <n v="0"/>
    <x v="1"/>
    <x v="3"/>
    <s v="Jaipur"/>
    <n v="174120"/>
    <n v="42875.25"/>
    <x v="1"/>
    <x v="0"/>
  </r>
  <r>
    <n v="488"/>
    <s v="Pooja"/>
    <x v="1"/>
    <x v="0"/>
    <x v="0"/>
    <n v="1"/>
    <n v="34803"/>
    <x v="304"/>
    <n v="10"/>
    <x v="5"/>
    <x v="3"/>
    <s v="Pune"/>
    <n v="31322.7"/>
    <n v="9187.91"/>
    <x v="0"/>
    <x v="1"/>
  </r>
  <r>
    <n v="489"/>
    <s v="Isha"/>
    <x v="0"/>
    <x v="1"/>
    <x v="4"/>
    <n v="7"/>
    <n v="31095"/>
    <x v="305"/>
    <n v="15"/>
    <x v="4"/>
    <x v="3"/>
    <s v="Jaipur"/>
    <n v="185015.25"/>
    <n v="20461.650000000001"/>
    <x v="3"/>
    <x v="2"/>
  </r>
  <r>
    <n v="490"/>
    <s v="Neha"/>
    <x v="1"/>
    <x v="3"/>
    <x v="15"/>
    <n v="3"/>
    <n v="23212"/>
    <x v="306"/>
    <n v="20"/>
    <x v="5"/>
    <x v="1"/>
    <s v="Bengaluru"/>
    <n v="55708.800000000003"/>
    <n v="13002.25"/>
    <x v="1"/>
    <x v="2"/>
  </r>
  <r>
    <n v="491"/>
    <s v="Karan"/>
    <x v="3"/>
    <x v="3"/>
    <x v="15"/>
    <n v="5"/>
    <n v="39496"/>
    <x v="307"/>
    <n v="15"/>
    <x v="5"/>
    <x v="2"/>
    <s v="Jaipur"/>
    <n v="167858"/>
    <n v="27921.52"/>
    <x v="0"/>
    <x v="2"/>
  </r>
  <r>
    <n v="492"/>
    <s v="Meera"/>
    <x v="2"/>
    <x v="4"/>
    <x v="10"/>
    <n v="5"/>
    <n v="7357"/>
    <x v="308"/>
    <n v="15"/>
    <x v="4"/>
    <x v="3"/>
    <s v="Pune"/>
    <n v="31267.25"/>
    <n v="5961.93"/>
    <x v="3"/>
    <x v="1"/>
  </r>
  <r>
    <n v="493"/>
    <s v="Dev"/>
    <x v="2"/>
    <x v="3"/>
    <x v="12"/>
    <n v="8"/>
    <n v="10337"/>
    <x v="191"/>
    <n v="0"/>
    <x v="2"/>
    <x v="1"/>
    <s v="Pune"/>
    <n v="82696"/>
    <n v="19488.79"/>
    <x v="3"/>
    <x v="2"/>
  </r>
  <r>
    <n v="494"/>
    <s v="Vikas"/>
    <x v="0"/>
    <x v="1"/>
    <x v="1"/>
    <n v="7"/>
    <n v="31232"/>
    <x v="289"/>
    <n v="15"/>
    <x v="2"/>
    <x v="0"/>
    <s v="Mumbai"/>
    <n v="185830.39999999999"/>
    <n v="24506.14"/>
    <x v="1"/>
    <x v="2"/>
  </r>
  <r>
    <n v="495"/>
    <s v="Sneha"/>
    <x v="2"/>
    <x v="0"/>
    <x v="2"/>
    <n v="4"/>
    <n v="13271"/>
    <x v="309"/>
    <n v="0"/>
    <x v="0"/>
    <x v="0"/>
    <s v="Pune"/>
    <n v="53084"/>
    <n v="6663.16"/>
    <x v="1"/>
    <x v="1"/>
  </r>
  <r>
    <n v="496"/>
    <s v="Isha"/>
    <x v="2"/>
    <x v="2"/>
    <x v="6"/>
    <n v="7"/>
    <n v="43800"/>
    <x v="310"/>
    <n v="0"/>
    <x v="3"/>
    <x v="0"/>
    <s v="Indore"/>
    <n v="306600"/>
    <n v="30285.88"/>
    <x v="3"/>
    <x v="0"/>
  </r>
  <r>
    <n v="497"/>
    <s v="Meera"/>
    <x v="0"/>
    <x v="3"/>
    <x v="15"/>
    <n v="8"/>
    <n v="49494"/>
    <x v="311"/>
    <n v="5"/>
    <x v="3"/>
    <x v="3"/>
    <s v="Mumbai"/>
    <n v="376154.4"/>
    <n v="107636.27"/>
    <x v="0"/>
    <x v="2"/>
  </r>
  <r>
    <n v="498"/>
    <s v="Rahul"/>
    <x v="0"/>
    <x v="1"/>
    <x v="4"/>
    <n v="5"/>
    <n v="17373"/>
    <x v="312"/>
    <n v="10"/>
    <x v="5"/>
    <x v="1"/>
    <s v="Pune"/>
    <n v="78178.5"/>
    <n v="13018.21"/>
    <x v="1"/>
    <x v="1"/>
  </r>
  <r>
    <n v="499"/>
    <s v="Aman"/>
    <x v="1"/>
    <x v="1"/>
    <x v="4"/>
    <n v="1"/>
    <n v="45804"/>
    <x v="313"/>
    <n v="20"/>
    <x v="5"/>
    <x v="3"/>
    <s v="Bengaluru"/>
    <n v="36643.199999999997"/>
    <n v="9573.84"/>
    <x v="3"/>
    <x v="0"/>
  </r>
  <r>
    <n v="500"/>
    <s v="Meera"/>
    <x v="3"/>
    <x v="2"/>
    <x v="6"/>
    <n v="6"/>
    <n v="79891"/>
    <x v="314"/>
    <n v="5"/>
    <x v="3"/>
    <x v="3"/>
    <s v="Indore"/>
    <n v="455378.7"/>
    <n v="39983.96"/>
    <x v="3"/>
    <x v="1"/>
  </r>
  <r>
    <n v="501"/>
    <s v="Pooja"/>
    <x v="0"/>
    <x v="0"/>
    <x v="7"/>
    <n v="10"/>
    <n v="11468"/>
    <x v="315"/>
    <n v="15"/>
    <x v="5"/>
    <x v="0"/>
    <s v="Surat"/>
    <n v="97478"/>
    <n v="10257.15"/>
    <x v="3"/>
    <x v="0"/>
  </r>
  <r>
    <n v="502"/>
    <s v="Karan"/>
    <x v="3"/>
    <x v="2"/>
    <x v="6"/>
    <n v="8"/>
    <n v="23573"/>
    <x v="115"/>
    <n v="0"/>
    <x v="5"/>
    <x v="3"/>
    <s v="Pune"/>
    <n v="188584"/>
    <n v="53228.59"/>
    <x v="0"/>
    <x v="1"/>
  </r>
  <r>
    <n v="503"/>
    <s v="Sneha"/>
    <x v="1"/>
    <x v="2"/>
    <x v="5"/>
    <n v="6"/>
    <n v="66039"/>
    <x v="316"/>
    <n v="20"/>
    <x v="1"/>
    <x v="0"/>
    <s v="Pune"/>
    <n v="316987.2"/>
    <n v="56287.96"/>
    <x v="3"/>
    <x v="0"/>
  </r>
  <r>
    <n v="504"/>
    <s v="Vikas"/>
    <x v="3"/>
    <x v="3"/>
    <x v="12"/>
    <n v="2"/>
    <n v="31877"/>
    <x v="46"/>
    <n v="15"/>
    <x v="5"/>
    <x v="3"/>
    <s v="Pune"/>
    <n v="54190.9"/>
    <n v="7394.92"/>
    <x v="3"/>
    <x v="0"/>
  </r>
  <r>
    <n v="505"/>
    <s v="Karan"/>
    <x v="1"/>
    <x v="3"/>
    <x v="15"/>
    <n v="7"/>
    <n v="77949"/>
    <x v="317"/>
    <n v="0"/>
    <x v="0"/>
    <x v="2"/>
    <s v="Surat"/>
    <n v="545643"/>
    <n v="115993.87"/>
    <x v="0"/>
    <x v="2"/>
  </r>
  <r>
    <n v="506"/>
    <s v="Meera"/>
    <x v="3"/>
    <x v="2"/>
    <x v="3"/>
    <n v="10"/>
    <n v="5158"/>
    <x v="133"/>
    <n v="5"/>
    <x v="4"/>
    <x v="0"/>
    <s v="Surat"/>
    <n v="49001"/>
    <n v="13243.07"/>
    <x v="0"/>
    <x v="0"/>
  </r>
  <r>
    <n v="507"/>
    <s v="Neha"/>
    <x v="0"/>
    <x v="0"/>
    <x v="9"/>
    <n v="8"/>
    <n v="7898"/>
    <x v="151"/>
    <n v="5"/>
    <x v="2"/>
    <x v="3"/>
    <s v="Mumbai"/>
    <n v="60024.800000000003"/>
    <n v="13758.16"/>
    <x v="0"/>
    <x v="0"/>
  </r>
  <r>
    <n v="508"/>
    <s v="Aman"/>
    <x v="0"/>
    <x v="0"/>
    <x v="9"/>
    <n v="6"/>
    <n v="58493"/>
    <x v="253"/>
    <n v="15"/>
    <x v="1"/>
    <x v="2"/>
    <s v="Delhi"/>
    <n v="298314.3"/>
    <n v="37305.040000000001"/>
    <x v="2"/>
    <x v="2"/>
  </r>
  <r>
    <n v="509"/>
    <s v="Dev"/>
    <x v="3"/>
    <x v="4"/>
    <x v="10"/>
    <n v="5"/>
    <n v="44259"/>
    <x v="278"/>
    <n v="0"/>
    <x v="1"/>
    <x v="2"/>
    <s v="Ahmedabad"/>
    <n v="221295"/>
    <n v="48790.83"/>
    <x v="0"/>
    <x v="1"/>
  </r>
  <r>
    <n v="510"/>
    <s v="Anita"/>
    <x v="2"/>
    <x v="4"/>
    <x v="11"/>
    <n v="2"/>
    <n v="60619"/>
    <x v="318"/>
    <n v="0"/>
    <x v="4"/>
    <x v="3"/>
    <s v="Pune"/>
    <n v="121238"/>
    <n v="25599.37"/>
    <x v="0"/>
    <x v="2"/>
  </r>
  <r>
    <n v="511"/>
    <s v="Aman"/>
    <x v="1"/>
    <x v="1"/>
    <x v="14"/>
    <n v="9"/>
    <n v="11947"/>
    <x v="297"/>
    <n v="5"/>
    <x v="4"/>
    <x v="1"/>
    <s v="Mumbai"/>
    <n v="102146.85"/>
    <n v="22653.52"/>
    <x v="0"/>
    <x v="2"/>
  </r>
  <r>
    <n v="512"/>
    <s v="Arjun"/>
    <x v="0"/>
    <x v="0"/>
    <x v="7"/>
    <n v="2"/>
    <n v="19149"/>
    <x v="319"/>
    <n v="0"/>
    <x v="2"/>
    <x v="2"/>
    <s v="Indore"/>
    <n v="38298"/>
    <n v="5302.6"/>
    <x v="0"/>
    <x v="0"/>
  </r>
  <r>
    <n v="513"/>
    <s v="Arjun"/>
    <x v="1"/>
    <x v="2"/>
    <x v="6"/>
    <n v="2"/>
    <n v="66394"/>
    <x v="256"/>
    <n v="0"/>
    <x v="4"/>
    <x v="1"/>
    <s v="Delhi"/>
    <n v="132788"/>
    <n v="24710.01"/>
    <x v="1"/>
    <x v="2"/>
  </r>
  <r>
    <n v="514"/>
    <s v="Meera"/>
    <x v="3"/>
    <x v="1"/>
    <x v="1"/>
    <n v="3"/>
    <n v="45245"/>
    <x v="320"/>
    <n v="0"/>
    <x v="4"/>
    <x v="0"/>
    <s v="Ahmedabad"/>
    <n v="135735"/>
    <n v="35929.81"/>
    <x v="1"/>
    <x v="0"/>
  </r>
  <r>
    <n v="515"/>
    <s v="Aman"/>
    <x v="0"/>
    <x v="4"/>
    <x v="10"/>
    <n v="10"/>
    <n v="67494"/>
    <x v="30"/>
    <n v="5"/>
    <x v="2"/>
    <x v="1"/>
    <s v="Pune"/>
    <n v="641193"/>
    <n v="186135.21"/>
    <x v="3"/>
    <x v="1"/>
  </r>
  <r>
    <n v="516"/>
    <s v="Neha"/>
    <x v="0"/>
    <x v="3"/>
    <x v="15"/>
    <n v="2"/>
    <n v="68346"/>
    <x v="321"/>
    <n v="5"/>
    <x v="5"/>
    <x v="2"/>
    <s v="Indore"/>
    <n v="129857.4"/>
    <n v="37486.81"/>
    <x v="2"/>
    <x v="0"/>
  </r>
  <r>
    <n v="517"/>
    <s v="Rohit"/>
    <x v="0"/>
    <x v="1"/>
    <x v="4"/>
    <n v="9"/>
    <n v="28423"/>
    <x v="183"/>
    <n v="0"/>
    <x v="5"/>
    <x v="1"/>
    <s v="Surat"/>
    <n v="255807"/>
    <n v="57740.14"/>
    <x v="2"/>
    <x v="1"/>
  </r>
  <r>
    <n v="518"/>
    <s v="Vikas"/>
    <x v="2"/>
    <x v="2"/>
    <x v="3"/>
    <n v="2"/>
    <n v="22001"/>
    <x v="322"/>
    <n v="5"/>
    <x v="5"/>
    <x v="0"/>
    <s v="Surat"/>
    <n v="41801.9"/>
    <n v="11763.82"/>
    <x v="1"/>
    <x v="1"/>
  </r>
  <r>
    <n v="519"/>
    <s v="Karan"/>
    <x v="0"/>
    <x v="4"/>
    <x v="13"/>
    <n v="3"/>
    <n v="13961"/>
    <x v="232"/>
    <n v="20"/>
    <x v="1"/>
    <x v="2"/>
    <s v="Pune"/>
    <n v="33506.400000000001"/>
    <n v="7005.05"/>
    <x v="0"/>
    <x v="1"/>
  </r>
  <r>
    <n v="520"/>
    <s v="Vikas"/>
    <x v="1"/>
    <x v="0"/>
    <x v="0"/>
    <n v="2"/>
    <n v="65486"/>
    <x v="323"/>
    <n v="5"/>
    <x v="1"/>
    <x v="2"/>
    <s v="Ahmedabad"/>
    <n v="124423.4"/>
    <n v="26995.95"/>
    <x v="1"/>
    <x v="0"/>
  </r>
  <r>
    <n v="521"/>
    <s v="Anita"/>
    <x v="1"/>
    <x v="2"/>
    <x v="3"/>
    <n v="8"/>
    <n v="39894"/>
    <x v="324"/>
    <n v="20"/>
    <x v="5"/>
    <x v="1"/>
    <s v="Surat"/>
    <n v="255321.60000000001"/>
    <n v="37601.25"/>
    <x v="0"/>
    <x v="0"/>
  </r>
  <r>
    <n v="522"/>
    <s v="Priya"/>
    <x v="0"/>
    <x v="1"/>
    <x v="14"/>
    <n v="1"/>
    <n v="79735"/>
    <x v="325"/>
    <n v="20"/>
    <x v="5"/>
    <x v="2"/>
    <s v="Indore"/>
    <n v="63788"/>
    <n v="11822.18"/>
    <x v="0"/>
    <x v="1"/>
  </r>
  <r>
    <n v="523"/>
    <s v="Riya"/>
    <x v="2"/>
    <x v="2"/>
    <x v="3"/>
    <n v="9"/>
    <n v="49771"/>
    <x v="326"/>
    <n v="5"/>
    <x v="5"/>
    <x v="0"/>
    <s v="Pune"/>
    <n v="425542.05"/>
    <n v="34626.239999999998"/>
    <x v="3"/>
    <x v="1"/>
  </r>
  <r>
    <n v="524"/>
    <s v="Dev"/>
    <x v="3"/>
    <x v="2"/>
    <x v="3"/>
    <n v="2"/>
    <n v="11325"/>
    <x v="327"/>
    <n v="5"/>
    <x v="1"/>
    <x v="3"/>
    <s v="Jaipur"/>
    <n v="21517.5"/>
    <n v="5954.72"/>
    <x v="2"/>
    <x v="0"/>
  </r>
  <r>
    <n v="525"/>
    <s v="Rohit"/>
    <x v="2"/>
    <x v="1"/>
    <x v="4"/>
    <n v="4"/>
    <n v="53232"/>
    <x v="230"/>
    <n v="15"/>
    <x v="0"/>
    <x v="2"/>
    <s v="Ahmedabad"/>
    <n v="180988.79999999999"/>
    <n v="42164.25"/>
    <x v="3"/>
    <x v="1"/>
  </r>
  <r>
    <n v="526"/>
    <s v="Pooja"/>
    <x v="3"/>
    <x v="2"/>
    <x v="5"/>
    <n v="3"/>
    <n v="28175"/>
    <x v="328"/>
    <n v="0"/>
    <x v="2"/>
    <x v="0"/>
    <s v="Bengaluru"/>
    <n v="84525"/>
    <n v="11854.44"/>
    <x v="3"/>
    <x v="1"/>
  </r>
  <r>
    <n v="527"/>
    <s v="Rohit"/>
    <x v="0"/>
    <x v="3"/>
    <x v="8"/>
    <n v="2"/>
    <n v="65691"/>
    <x v="329"/>
    <n v="15"/>
    <x v="2"/>
    <x v="1"/>
    <s v="Surat"/>
    <n v="111674.7"/>
    <n v="16911.64"/>
    <x v="1"/>
    <x v="0"/>
  </r>
  <r>
    <n v="528"/>
    <s v="Neha"/>
    <x v="3"/>
    <x v="0"/>
    <x v="0"/>
    <n v="10"/>
    <n v="52849"/>
    <x v="330"/>
    <n v="10"/>
    <x v="3"/>
    <x v="0"/>
    <s v="Pune"/>
    <n v="475641"/>
    <n v="75620.52"/>
    <x v="3"/>
    <x v="2"/>
  </r>
  <r>
    <n v="529"/>
    <s v="Priya"/>
    <x v="1"/>
    <x v="4"/>
    <x v="11"/>
    <n v="5"/>
    <n v="6697"/>
    <x v="331"/>
    <n v="0"/>
    <x v="2"/>
    <x v="1"/>
    <s v="Delhi"/>
    <n v="33485"/>
    <n v="3584.55"/>
    <x v="1"/>
    <x v="2"/>
  </r>
  <r>
    <n v="530"/>
    <s v="Arjun"/>
    <x v="1"/>
    <x v="2"/>
    <x v="5"/>
    <n v="5"/>
    <n v="8855"/>
    <x v="19"/>
    <n v="5"/>
    <x v="1"/>
    <x v="1"/>
    <s v="Pune"/>
    <n v="42061.25"/>
    <n v="4829.41"/>
    <x v="1"/>
    <x v="1"/>
  </r>
  <r>
    <n v="531"/>
    <s v="Isha"/>
    <x v="3"/>
    <x v="2"/>
    <x v="5"/>
    <n v="6"/>
    <n v="68356"/>
    <x v="137"/>
    <n v="0"/>
    <x v="0"/>
    <x v="0"/>
    <s v="Indore"/>
    <n v="410136"/>
    <n v="52925.45"/>
    <x v="0"/>
    <x v="1"/>
  </r>
  <r>
    <n v="532"/>
    <s v="Rahul"/>
    <x v="3"/>
    <x v="3"/>
    <x v="15"/>
    <n v="2"/>
    <n v="73514"/>
    <x v="332"/>
    <n v="15"/>
    <x v="4"/>
    <x v="0"/>
    <s v="Surat"/>
    <n v="124973.8"/>
    <n v="16491.72"/>
    <x v="2"/>
    <x v="0"/>
  </r>
  <r>
    <n v="533"/>
    <s v="Pooja"/>
    <x v="1"/>
    <x v="0"/>
    <x v="2"/>
    <n v="5"/>
    <n v="46705"/>
    <x v="280"/>
    <n v="15"/>
    <x v="2"/>
    <x v="3"/>
    <s v="Indore"/>
    <n v="198496.25"/>
    <n v="18366.509999999998"/>
    <x v="2"/>
    <x v="2"/>
  </r>
  <r>
    <n v="534"/>
    <s v="Vikas"/>
    <x v="3"/>
    <x v="0"/>
    <x v="9"/>
    <n v="3"/>
    <n v="30519"/>
    <x v="143"/>
    <n v="20"/>
    <x v="0"/>
    <x v="3"/>
    <s v="Pune"/>
    <n v="73245.600000000006"/>
    <n v="14845.17"/>
    <x v="1"/>
    <x v="2"/>
  </r>
  <r>
    <n v="535"/>
    <s v="Rohit"/>
    <x v="0"/>
    <x v="3"/>
    <x v="12"/>
    <n v="7"/>
    <n v="66372"/>
    <x v="129"/>
    <n v="15"/>
    <x v="5"/>
    <x v="0"/>
    <s v="Delhi"/>
    <n v="394913.4"/>
    <n v="79621.16"/>
    <x v="2"/>
    <x v="2"/>
  </r>
  <r>
    <n v="536"/>
    <s v="Sneha"/>
    <x v="0"/>
    <x v="1"/>
    <x v="4"/>
    <n v="9"/>
    <n v="16867"/>
    <x v="333"/>
    <n v="20"/>
    <x v="1"/>
    <x v="0"/>
    <s v="Mumbai"/>
    <n v="121442.4"/>
    <n v="33040.199999999997"/>
    <x v="0"/>
    <x v="0"/>
  </r>
  <r>
    <n v="537"/>
    <s v="Meera"/>
    <x v="2"/>
    <x v="2"/>
    <x v="6"/>
    <n v="3"/>
    <n v="33397"/>
    <x v="200"/>
    <n v="0"/>
    <x v="4"/>
    <x v="1"/>
    <s v="Ahmedabad"/>
    <n v="100191"/>
    <n v="12129.34"/>
    <x v="2"/>
    <x v="0"/>
  </r>
  <r>
    <n v="538"/>
    <s v="Anita"/>
    <x v="2"/>
    <x v="1"/>
    <x v="4"/>
    <n v="9"/>
    <n v="5303"/>
    <x v="147"/>
    <n v="15"/>
    <x v="0"/>
    <x v="2"/>
    <s v="Indore"/>
    <n v="40567.949999999997"/>
    <n v="9595.18"/>
    <x v="2"/>
    <x v="1"/>
  </r>
  <r>
    <n v="539"/>
    <s v="Rahul"/>
    <x v="3"/>
    <x v="1"/>
    <x v="1"/>
    <n v="2"/>
    <n v="33823"/>
    <x v="144"/>
    <n v="5"/>
    <x v="4"/>
    <x v="2"/>
    <s v="Surat"/>
    <n v="64263.7"/>
    <n v="12510.72"/>
    <x v="3"/>
    <x v="0"/>
  </r>
  <r>
    <n v="540"/>
    <s v="Aman"/>
    <x v="2"/>
    <x v="2"/>
    <x v="6"/>
    <n v="9"/>
    <n v="41488"/>
    <x v="334"/>
    <n v="10"/>
    <x v="3"/>
    <x v="3"/>
    <s v="Mumbai"/>
    <n v="336052.8"/>
    <n v="51155.57"/>
    <x v="1"/>
    <x v="1"/>
  </r>
  <r>
    <n v="541"/>
    <s v="Neha"/>
    <x v="0"/>
    <x v="0"/>
    <x v="0"/>
    <n v="1"/>
    <n v="28595"/>
    <x v="279"/>
    <n v="0"/>
    <x v="5"/>
    <x v="0"/>
    <s v="Mumbai"/>
    <n v="28595"/>
    <n v="7687.32"/>
    <x v="3"/>
    <x v="0"/>
  </r>
  <r>
    <n v="542"/>
    <s v="Neha"/>
    <x v="1"/>
    <x v="4"/>
    <x v="13"/>
    <n v="1"/>
    <n v="3351"/>
    <x v="76"/>
    <n v="5"/>
    <x v="4"/>
    <x v="1"/>
    <s v="Ahmedabad"/>
    <n v="3183.45"/>
    <n v="823.22"/>
    <x v="0"/>
    <x v="2"/>
  </r>
  <r>
    <n v="543"/>
    <s v="Pooja"/>
    <x v="3"/>
    <x v="4"/>
    <x v="11"/>
    <n v="3"/>
    <n v="14392"/>
    <x v="335"/>
    <n v="20"/>
    <x v="0"/>
    <x v="3"/>
    <s v="Pune"/>
    <n v="34540.800000000003"/>
    <n v="4862.76"/>
    <x v="2"/>
    <x v="1"/>
  </r>
  <r>
    <n v="544"/>
    <s v="Karan"/>
    <x v="0"/>
    <x v="0"/>
    <x v="0"/>
    <n v="8"/>
    <n v="19983"/>
    <x v="155"/>
    <n v="15"/>
    <x v="2"/>
    <x v="1"/>
    <s v="Pune"/>
    <n v="135884.4"/>
    <n v="15545.36"/>
    <x v="2"/>
    <x v="0"/>
  </r>
  <r>
    <n v="545"/>
    <s v="Riya"/>
    <x v="1"/>
    <x v="4"/>
    <x v="13"/>
    <n v="4"/>
    <n v="16863"/>
    <x v="34"/>
    <n v="20"/>
    <x v="1"/>
    <x v="0"/>
    <s v="Jaipur"/>
    <n v="53961.599999999999"/>
    <n v="14031.88"/>
    <x v="2"/>
    <x v="0"/>
  </r>
  <r>
    <n v="546"/>
    <s v="Vikas"/>
    <x v="1"/>
    <x v="2"/>
    <x v="6"/>
    <n v="2"/>
    <n v="49476"/>
    <x v="336"/>
    <n v="20"/>
    <x v="1"/>
    <x v="2"/>
    <s v="Pune"/>
    <n v="79161.600000000006"/>
    <n v="10061.19"/>
    <x v="0"/>
    <x v="1"/>
  </r>
  <r>
    <n v="547"/>
    <s v="Dev"/>
    <x v="0"/>
    <x v="0"/>
    <x v="7"/>
    <n v="5"/>
    <n v="42145"/>
    <x v="297"/>
    <n v="20"/>
    <x v="2"/>
    <x v="3"/>
    <s v="Indore"/>
    <n v="168580"/>
    <n v="47598.2"/>
    <x v="1"/>
    <x v="2"/>
  </r>
  <r>
    <n v="548"/>
    <s v="Isha"/>
    <x v="2"/>
    <x v="4"/>
    <x v="13"/>
    <n v="3"/>
    <n v="42324"/>
    <x v="267"/>
    <n v="20"/>
    <x v="0"/>
    <x v="3"/>
    <s v="Bengaluru"/>
    <n v="101577.60000000001"/>
    <n v="9658.26"/>
    <x v="2"/>
    <x v="1"/>
  </r>
  <r>
    <n v="549"/>
    <s v="Rahul"/>
    <x v="2"/>
    <x v="0"/>
    <x v="9"/>
    <n v="2"/>
    <n v="69277"/>
    <x v="337"/>
    <n v="0"/>
    <x v="0"/>
    <x v="0"/>
    <s v="Mumbai"/>
    <n v="138554"/>
    <n v="19972.41"/>
    <x v="2"/>
    <x v="0"/>
  </r>
  <r>
    <n v="550"/>
    <s v="Meera"/>
    <x v="2"/>
    <x v="3"/>
    <x v="12"/>
    <n v="4"/>
    <n v="26464"/>
    <x v="110"/>
    <n v="10"/>
    <x v="4"/>
    <x v="2"/>
    <s v="Delhi"/>
    <n v="95270.399999999994"/>
    <n v="15880.17"/>
    <x v="3"/>
    <x v="1"/>
  </r>
  <r>
    <n v="551"/>
    <s v="Rohit"/>
    <x v="3"/>
    <x v="3"/>
    <x v="15"/>
    <n v="9"/>
    <n v="55347"/>
    <x v="138"/>
    <n v="5"/>
    <x v="4"/>
    <x v="2"/>
    <s v="Bengaluru"/>
    <n v="473216.85"/>
    <n v="68644"/>
    <x v="3"/>
    <x v="1"/>
  </r>
  <r>
    <n v="552"/>
    <s v="Karan"/>
    <x v="0"/>
    <x v="3"/>
    <x v="15"/>
    <n v="4"/>
    <n v="6581"/>
    <x v="338"/>
    <n v="20"/>
    <x v="3"/>
    <x v="1"/>
    <s v="Mumbai"/>
    <n v="21059.200000000001"/>
    <n v="2357.12"/>
    <x v="1"/>
    <x v="0"/>
  </r>
  <r>
    <n v="553"/>
    <s v="Riya"/>
    <x v="3"/>
    <x v="2"/>
    <x v="6"/>
    <n v="7"/>
    <n v="15174"/>
    <x v="221"/>
    <n v="20"/>
    <x v="4"/>
    <x v="3"/>
    <s v="Mumbai"/>
    <n v="84974.399999999994"/>
    <n v="12414"/>
    <x v="1"/>
    <x v="1"/>
  </r>
  <r>
    <n v="554"/>
    <s v="Rahul"/>
    <x v="3"/>
    <x v="3"/>
    <x v="8"/>
    <n v="9"/>
    <n v="32642"/>
    <x v="98"/>
    <n v="10"/>
    <x v="2"/>
    <x v="1"/>
    <s v="Delhi"/>
    <n v="264400.2"/>
    <n v="42743.32"/>
    <x v="0"/>
    <x v="1"/>
  </r>
  <r>
    <n v="555"/>
    <s v="Rohit"/>
    <x v="0"/>
    <x v="4"/>
    <x v="10"/>
    <n v="6"/>
    <n v="64175"/>
    <x v="339"/>
    <n v="5"/>
    <x v="0"/>
    <x v="0"/>
    <s v="Indore"/>
    <n v="365797.5"/>
    <n v="105503.6"/>
    <x v="0"/>
    <x v="0"/>
  </r>
  <r>
    <n v="556"/>
    <s v="Sneha"/>
    <x v="2"/>
    <x v="0"/>
    <x v="0"/>
    <n v="5"/>
    <n v="29028"/>
    <x v="340"/>
    <n v="20"/>
    <x v="1"/>
    <x v="3"/>
    <s v="Jaipur"/>
    <n v="116112"/>
    <n v="26522.5"/>
    <x v="0"/>
    <x v="2"/>
  </r>
  <r>
    <n v="557"/>
    <s v="Neha"/>
    <x v="2"/>
    <x v="3"/>
    <x v="8"/>
    <n v="9"/>
    <n v="24757"/>
    <x v="260"/>
    <n v="5"/>
    <x v="3"/>
    <x v="0"/>
    <s v="Pune"/>
    <n v="211672.35"/>
    <n v="34372.93"/>
    <x v="2"/>
    <x v="0"/>
  </r>
  <r>
    <n v="558"/>
    <s v="Anita"/>
    <x v="3"/>
    <x v="0"/>
    <x v="9"/>
    <n v="7"/>
    <n v="8001"/>
    <x v="341"/>
    <n v="5"/>
    <x v="4"/>
    <x v="0"/>
    <s v="Ahmedabad"/>
    <n v="53206.65"/>
    <n v="11882.72"/>
    <x v="3"/>
    <x v="1"/>
  </r>
  <r>
    <n v="559"/>
    <s v="Arjun"/>
    <x v="0"/>
    <x v="4"/>
    <x v="11"/>
    <n v="6"/>
    <n v="5979"/>
    <x v="121"/>
    <n v="5"/>
    <x v="2"/>
    <x v="2"/>
    <s v="Bengaluru"/>
    <n v="34080.300000000003"/>
    <n v="6093"/>
    <x v="1"/>
    <x v="1"/>
  </r>
  <r>
    <n v="560"/>
    <s v="Rohit"/>
    <x v="1"/>
    <x v="1"/>
    <x v="14"/>
    <n v="8"/>
    <n v="57886"/>
    <x v="310"/>
    <n v="5"/>
    <x v="2"/>
    <x v="2"/>
    <s v="Mumbai"/>
    <n v="439933.6"/>
    <n v="109603.71"/>
    <x v="3"/>
    <x v="2"/>
  </r>
  <r>
    <n v="561"/>
    <s v="Meera"/>
    <x v="2"/>
    <x v="4"/>
    <x v="10"/>
    <n v="3"/>
    <n v="18787"/>
    <x v="215"/>
    <n v="0"/>
    <x v="1"/>
    <x v="2"/>
    <s v="Surat"/>
    <n v="56361"/>
    <n v="14774.85"/>
    <x v="3"/>
    <x v="2"/>
  </r>
  <r>
    <n v="562"/>
    <s v="Rohit"/>
    <x v="3"/>
    <x v="0"/>
    <x v="2"/>
    <n v="1"/>
    <n v="35139"/>
    <x v="298"/>
    <n v="5"/>
    <x v="2"/>
    <x v="3"/>
    <s v="Mumbai"/>
    <n v="33382.050000000003"/>
    <n v="6871.73"/>
    <x v="1"/>
    <x v="1"/>
  </r>
  <r>
    <n v="563"/>
    <s v="Rohit"/>
    <x v="2"/>
    <x v="1"/>
    <x v="14"/>
    <n v="2"/>
    <n v="48629"/>
    <x v="342"/>
    <n v="0"/>
    <x v="5"/>
    <x v="3"/>
    <s v="Pune"/>
    <n v="97258"/>
    <n v="25215.59"/>
    <x v="2"/>
    <x v="2"/>
  </r>
  <r>
    <n v="564"/>
    <s v="Meera"/>
    <x v="0"/>
    <x v="1"/>
    <x v="14"/>
    <n v="6"/>
    <n v="42767"/>
    <x v="343"/>
    <n v="15"/>
    <x v="5"/>
    <x v="0"/>
    <s v="Surat"/>
    <n v="218111.7"/>
    <n v="55124.28"/>
    <x v="1"/>
    <x v="2"/>
  </r>
  <r>
    <n v="565"/>
    <s v="Karan"/>
    <x v="1"/>
    <x v="0"/>
    <x v="7"/>
    <n v="4"/>
    <n v="34802"/>
    <x v="212"/>
    <n v="15"/>
    <x v="0"/>
    <x v="0"/>
    <s v="Delhi"/>
    <n v="118326.8"/>
    <n v="18027.02"/>
    <x v="3"/>
    <x v="1"/>
  </r>
  <r>
    <n v="566"/>
    <s v="Rahul"/>
    <x v="2"/>
    <x v="2"/>
    <x v="6"/>
    <n v="10"/>
    <n v="4524"/>
    <x v="344"/>
    <n v="20"/>
    <x v="5"/>
    <x v="3"/>
    <s v="Indore"/>
    <n v="36192"/>
    <n v="5470.43"/>
    <x v="2"/>
    <x v="1"/>
  </r>
  <r>
    <n v="567"/>
    <s v="Anita"/>
    <x v="1"/>
    <x v="3"/>
    <x v="15"/>
    <n v="6"/>
    <n v="76861"/>
    <x v="255"/>
    <n v="10"/>
    <x v="0"/>
    <x v="1"/>
    <s v="Indore"/>
    <n v="415049.4"/>
    <n v="48730.83"/>
    <x v="0"/>
    <x v="0"/>
  </r>
  <r>
    <n v="568"/>
    <s v="Neha"/>
    <x v="3"/>
    <x v="4"/>
    <x v="13"/>
    <n v="3"/>
    <n v="70245"/>
    <x v="345"/>
    <n v="0"/>
    <x v="5"/>
    <x v="3"/>
    <s v="Indore"/>
    <n v="210735"/>
    <n v="27732.54"/>
    <x v="2"/>
    <x v="1"/>
  </r>
  <r>
    <n v="569"/>
    <s v="Isha"/>
    <x v="2"/>
    <x v="0"/>
    <x v="7"/>
    <n v="2"/>
    <n v="20585"/>
    <x v="56"/>
    <n v="0"/>
    <x v="3"/>
    <x v="1"/>
    <s v="Jaipur"/>
    <n v="41170"/>
    <n v="10087.09"/>
    <x v="1"/>
    <x v="0"/>
  </r>
  <r>
    <n v="570"/>
    <s v="Priya"/>
    <x v="2"/>
    <x v="2"/>
    <x v="5"/>
    <n v="2"/>
    <n v="14247"/>
    <x v="242"/>
    <n v="10"/>
    <x v="0"/>
    <x v="2"/>
    <s v="Delhi"/>
    <n v="25644.6"/>
    <n v="4769.1400000000003"/>
    <x v="0"/>
    <x v="1"/>
  </r>
  <r>
    <n v="571"/>
    <s v="Karan"/>
    <x v="1"/>
    <x v="3"/>
    <x v="15"/>
    <n v="9"/>
    <n v="9879"/>
    <x v="346"/>
    <n v="15"/>
    <x v="2"/>
    <x v="2"/>
    <s v="Surat"/>
    <n v="75574.350000000006"/>
    <n v="9789.2199999999993"/>
    <x v="2"/>
    <x v="1"/>
  </r>
  <r>
    <n v="572"/>
    <s v="Arjun"/>
    <x v="3"/>
    <x v="2"/>
    <x v="3"/>
    <n v="1"/>
    <n v="59217"/>
    <x v="335"/>
    <n v="20"/>
    <x v="5"/>
    <x v="1"/>
    <s v="Indore"/>
    <n v="47373.599999999999"/>
    <n v="4173.26"/>
    <x v="0"/>
    <x v="0"/>
  </r>
  <r>
    <n v="573"/>
    <s v="Sneha"/>
    <x v="3"/>
    <x v="2"/>
    <x v="5"/>
    <n v="1"/>
    <n v="40524"/>
    <x v="298"/>
    <n v="20"/>
    <x v="2"/>
    <x v="1"/>
    <s v="Bengaluru"/>
    <n v="32419.200000000001"/>
    <n v="9071.34"/>
    <x v="2"/>
    <x v="2"/>
  </r>
  <r>
    <n v="574"/>
    <s v="Arjun"/>
    <x v="0"/>
    <x v="0"/>
    <x v="0"/>
    <n v="10"/>
    <n v="68355"/>
    <x v="347"/>
    <n v="5"/>
    <x v="5"/>
    <x v="2"/>
    <s v="Delhi"/>
    <n v="649372.5"/>
    <n v="155881.18"/>
    <x v="2"/>
    <x v="1"/>
  </r>
  <r>
    <n v="575"/>
    <s v="Priya"/>
    <x v="3"/>
    <x v="0"/>
    <x v="0"/>
    <n v="9"/>
    <n v="29977"/>
    <x v="348"/>
    <n v="20"/>
    <x v="0"/>
    <x v="0"/>
    <s v="Ahmedabad"/>
    <n v="215834.4"/>
    <n v="64180.61"/>
    <x v="3"/>
    <x v="2"/>
  </r>
  <r>
    <n v="576"/>
    <s v="Dev"/>
    <x v="0"/>
    <x v="4"/>
    <x v="11"/>
    <n v="9"/>
    <n v="70319"/>
    <x v="327"/>
    <n v="5"/>
    <x v="2"/>
    <x v="0"/>
    <s v="Jaipur"/>
    <n v="601227.44999999995"/>
    <n v="49014.55"/>
    <x v="3"/>
    <x v="1"/>
  </r>
  <r>
    <n v="577"/>
    <s v="Priya"/>
    <x v="0"/>
    <x v="1"/>
    <x v="4"/>
    <n v="4"/>
    <n v="8054"/>
    <x v="153"/>
    <n v="5"/>
    <x v="2"/>
    <x v="3"/>
    <s v="Pune"/>
    <n v="30605.200000000001"/>
    <n v="7442.83"/>
    <x v="0"/>
    <x v="0"/>
  </r>
  <r>
    <n v="578"/>
    <s v="Karan"/>
    <x v="3"/>
    <x v="3"/>
    <x v="8"/>
    <n v="3"/>
    <n v="34720"/>
    <x v="310"/>
    <n v="20"/>
    <x v="5"/>
    <x v="2"/>
    <s v="Mumbai"/>
    <n v="83328"/>
    <n v="23908.28"/>
    <x v="2"/>
    <x v="0"/>
  </r>
  <r>
    <n v="579"/>
    <s v="Karan"/>
    <x v="2"/>
    <x v="4"/>
    <x v="10"/>
    <n v="8"/>
    <n v="75178"/>
    <x v="99"/>
    <n v="0"/>
    <x v="5"/>
    <x v="1"/>
    <s v="Jaipur"/>
    <n v="601424"/>
    <n v="52396.82"/>
    <x v="0"/>
    <x v="2"/>
  </r>
  <r>
    <n v="580"/>
    <s v="Aman"/>
    <x v="2"/>
    <x v="4"/>
    <x v="13"/>
    <n v="5"/>
    <n v="60985"/>
    <x v="349"/>
    <n v="5"/>
    <x v="2"/>
    <x v="0"/>
    <s v="Pune"/>
    <n v="289678.75"/>
    <n v="42060.27"/>
    <x v="2"/>
    <x v="0"/>
  </r>
  <r>
    <n v="581"/>
    <s v="Vikas"/>
    <x v="0"/>
    <x v="2"/>
    <x v="6"/>
    <n v="5"/>
    <n v="15499"/>
    <x v="169"/>
    <n v="5"/>
    <x v="4"/>
    <x v="3"/>
    <s v="Bengaluru"/>
    <n v="73620.25"/>
    <n v="7474.8"/>
    <x v="0"/>
    <x v="2"/>
  </r>
  <r>
    <n v="582"/>
    <s v="Dev"/>
    <x v="2"/>
    <x v="4"/>
    <x v="10"/>
    <n v="4"/>
    <n v="23467"/>
    <x v="350"/>
    <n v="0"/>
    <x v="3"/>
    <x v="0"/>
    <s v="Surat"/>
    <n v="93868"/>
    <n v="8027.76"/>
    <x v="0"/>
    <x v="2"/>
  </r>
  <r>
    <n v="583"/>
    <s v="Rohit"/>
    <x v="0"/>
    <x v="3"/>
    <x v="8"/>
    <n v="4"/>
    <n v="48827"/>
    <x v="134"/>
    <n v="5"/>
    <x v="1"/>
    <x v="0"/>
    <s v="Ahmedabad"/>
    <n v="185542.6"/>
    <n v="19364.86"/>
    <x v="3"/>
    <x v="1"/>
  </r>
  <r>
    <n v="584"/>
    <s v="Rahul"/>
    <x v="2"/>
    <x v="1"/>
    <x v="4"/>
    <n v="10"/>
    <n v="65082"/>
    <x v="351"/>
    <n v="20"/>
    <x v="3"/>
    <x v="0"/>
    <s v="Ahmedabad"/>
    <n v="520656"/>
    <n v="117590.8"/>
    <x v="2"/>
    <x v="1"/>
  </r>
  <r>
    <n v="585"/>
    <s v="Dev"/>
    <x v="3"/>
    <x v="0"/>
    <x v="2"/>
    <n v="7"/>
    <n v="27065"/>
    <x v="151"/>
    <n v="0"/>
    <x v="3"/>
    <x v="2"/>
    <s v="Surat"/>
    <n v="189455"/>
    <n v="19099.169999999998"/>
    <x v="3"/>
    <x v="1"/>
  </r>
  <r>
    <n v="586"/>
    <s v="Vikas"/>
    <x v="3"/>
    <x v="0"/>
    <x v="7"/>
    <n v="9"/>
    <n v="6255"/>
    <x v="43"/>
    <n v="15"/>
    <x v="0"/>
    <x v="2"/>
    <s v="Ahmedabad"/>
    <n v="47850.75"/>
    <n v="4900.3900000000003"/>
    <x v="1"/>
    <x v="1"/>
  </r>
  <r>
    <n v="587"/>
    <s v="Rahul"/>
    <x v="0"/>
    <x v="1"/>
    <x v="1"/>
    <n v="3"/>
    <n v="42396"/>
    <x v="352"/>
    <n v="10"/>
    <x v="3"/>
    <x v="1"/>
    <s v="Jaipur"/>
    <n v="114469.2"/>
    <n v="25714.65"/>
    <x v="2"/>
    <x v="0"/>
  </r>
  <r>
    <n v="588"/>
    <s v="Isha"/>
    <x v="2"/>
    <x v="2"/>
    <x v="5"/>
    <n v="1"/>
    <n v="73338"/>
    <x v="353"/>
    <n v="0"/>
    <x v="5"/>
    <x v="2"/>
    <s v="Ahmedabad"/>
    <n v="73338"/>
    <n v="6795.27"/>
    <x v="0"/>
    <x v="0"/>
  </r>
  <r>
    <n v="589"/>
    <s v="Rahul"/>
    <x v="1"/>
    <x v="4"/>
    <x v="13"/>
    <n v="2"/>
    <n v="9744"/>
    <x v="93"/>
    <n v="5"/>
    <x v="2"/>
    <x v="3"/>
    <s v="Ahmedabad"/>
    <n v="18513.599999999999"/>
    <n v="1553.13"/>
    <x v="0"/>
    <x v="0"/>
  </r>
  <r>
    <n v="590"/>
    <s v="Rohit"/>
    <x v="3"/>
    <x v="3"/>
    <x v="12"/>
    <n v="7"/>
    <n v="72198"/>
    <x v="166"/>
    <n v="15"/>
    <x v="3"/>
    <x v="0"/>
    <s v="Indore"/>
    <n v="429578.1"/>
    <n v="66182.740000000005"/>
    <x v="3"/>
    <x v="1"/>
  </r>
  <r>
    <n v="591"/>
    <s v="Sneha"/>
    <x v="3"/>
    <x v="0"/>
    <x v="2"/>
    <n v="5"/>
    <n v="43672"/>
    <x v="198"/>
    <n v="10"/>
    <x v="2"/>
    <x v="0"/>
    <s v="Bengaluru"/>
    <n v="196524"/>
    <n v="47392.87"/>
    <x v="2"/>
    <x v="1"/>
  </r>
  <r>
    <n v="592"/>
    <s v="Isha"/>
    <x v="3"/>
    <x v="3"/>
    <x v="15"/>
    <n v="8"/>
    <n v="27783"/>
    <x v="346"/>
    <n v="0"/>
    <x v="0"/>
    <x v="0"/>
    <s v="Jaipur"/>
    <n v="222264"/>
    <n v="19196.48"/>
    <x v="0"/>
    <x v="2"/>
  </r>
  <r>
    <n v="593"/>
    <s v="Karan"/>
    <x v="0"/>
    <x v="1"/>
    <x v="4"/>
    <n v="4"/>
    <n v="35096"/>
    <x v="354"/>
    <n v="10"/>
    <x v="1"/>
    <x v="3"/>
    <s v="Mumbai"/>
    <n v="126345.60000000001"/>
    <n v="33660.42"/>
    <x v="0"/>
    <x v="2"/>
  </r>
  <r>
    <n v="594"/>
    <s v="Anita"/>
    <x v="0"/>
    <x v="1"/>
    <x v="14"/>
    <n v="6"/>
    <n v="971"/>
    <x v="128"/>
    <n v="10"/>
    <x v="3"/>
    <x v="3"/>
    <s v="Jaipur"/>
    <n v="5243.4"/>
    <n v="537.33000000000004"/>
    <x v="0"/>
    <x v="1"/>
  </r>
  <r>
    <n v="595"/>
    <s v="Dev"/>
    <x v="0"/>
    <x v="4"/>
    <x v="10"/>
    <n v="5"/>
    <n v="62195"/>
    <x v="355"/>
    <n v="20"/>
    <x v="5"/>
    <x v="1"/>
    <s v="Jaipur"/>
    <n v="248780"/>
    <n v="54604.92"/>
    <x v="2"/>
    <x v="1"/>
  </r>
  <r>
    <n v="596"/>
    <s v="Arjun"/>
    <x v="0"/>
    <x v="4"/>
    <x v="13"/>
    <n v="5"/>
    <n v="5633"/>
    <x v="35"/>
    <n v="15"/>
    <x v="0"/>
    <x v="1"/>
    <s v="Mumbai"/>
    <n v="23940.25"/>
    <n v="4154.9399999999996"/>
    <x v="0"/>
    <x v="2"/>
  </r>
  <r>
    <n v="597"/>
    <s v="Vikas"/>
    <x v="3"/>
    <x v="3"/>
    <x v="8"/>
    <n v="5"/>
    <n v="27201"/>
    <x v="356"/>
    <n v="0"/>
    <x v="1"/>
    <x v="2"/>
    <s v="Indore"/>
    <n v="136005"/>
    <n v="27616.74"/>
    <x v="1"/>
    <x v="0"/>
  </r>
  <r>
    <n v="598"/>
    <s v="Pooja"/>
    <x v="0"/>
    <x v="4"/>
    <x v="10"/>
    <n v="6"/>
    <n v="62050"/>
    <x v="357"/>
    <n v="20"/>
    <x v="2"/>
    <x v="0"/>
    <s v="Surat"/>
    <n v="297840"/>
    <n v="59506.84"/>
    <x v="1"/>
    <x v="1"/>
  </r>
  <r>
    <n v="599"/>
    <s v="Riya"/>
    <x v="2"/>
    <x v="2"/>
    <x v="3"/>
    <n v="6"/>
    <n v="11654"/>
    <x v="87"/>
    <n v="0"/>
    <x v="1"/>
    <x v="0"/>
    <s v="Mumbai"/>
    <n v="69924"/>
    <n v="18935.46"/>
    <x v="2"/>
    <x v="0"/>
  </r>
  <r>
    <n v="600"/>
    <s v="Priya"/>
    <x v="2"/>
    <x v="4"/>
    <x v="10"/>
    <n v="10"/>
    <n v="76770"/>
    <x v="301"/>
    <n v="20"/>
    <x v="5"/>
    <x v="1"/>
    <s v="Mumbai"/>
    <n v="614160"/>
    <n v="50336.38"/>
    <x v="2"/>
    <x v="0"/>
  </r>
  <r>
    <n v="601"/>
    <s v="Aman"/>
    <x v="1"/>
    <x v="4"/>
    <x v="10"/>
    <n v="1"/>
    <n v="1053"/>
    <x v="358"/>
    <n v="15"/>
    <x v="0"/>
    <x v="1"/>
    <s v="Jaipur"/>
    <n v="895.05"/>
    <n v="83.3"/>
    <x v="2"/>
    <x v="1"/>
  </r>
  <r>
    <n v="602"/>
    <s v="Vikas"/>
    <x v="1"/>
    <x v="3"/>
    <x v="12"/>
    <n v="7"/>
    <n v="26708"/>
    <x v="359"/>
    <n v="10"/>
    <x v="0"/>
    <x v="2"/>
    <s v="Pune"/>
    <n v="168260.4"/>
    <n v="42770.92"/>
    <x v="1"/>
    <x v="1"/>
  </r>
  <r>
    <n v="603"/>
    <s v="Aman"/>
    <x v="0"/>
    <x v="3"/>
    <x v="8"/>
    <n v="10"/>
    <n v="28752"/>
    <x v="360"/>
    <n v="10"/>
    <x v="1"/>
    <x v="2"/>
    <s v="Delhi"/>
    <n v="258768"/>
    <n v="29298.2"/>
    <x v="0"/>
    <x v="2"/>
  </r>
  <r>
    <n v="604"/>
    <s v="Pooja"/>
    <x v="2"/>
    <x v="4"/>
    <x v="11"/>
    <n v="10"/>
    <n v="7347"/>
    <x v="361"/>
    <n v="15"/>
    <x v="4"/>
    <x v="2"/>
    <s v="Pune"/>
    <n v="62449.5"/>
    <n v="10366.32"/>
    <x v="1"/>
    <x v="2"/>
  </r>
  <r>
    <n v="605"/>
    <s v="Sneha"/>
    <x v="1"/>
    <x v="2"/>
    <x v="5"/>
    <n v="3"/>
    <n v="60327"/>
    <x v="362"/>
    <n v="15"/>
    <x v="2"/>
    <x v="1"/>
    <s v="Indore"/>
    <n v="153833.85"/>
    <n v="33171.54"/>
    <x v="0"/>
    <x v="2"/>
  </r>
  <r>
    <n v="606"/>
    <s v="Riya"/>
    <x v="2"/>
    <x v="1"/>
    <x v="4"/>
    <n v="1"/>
    <n v="38380"/>
    <x v="363"/>
    <n v="0"/>
    <x v="2"/>
    <x v="3"/>
    <s v="Bengaluru"/>
    <n v="38380"/>
    <n v="10756.15"/>
    <x v="0"/>
    <x v="1"/>
  </r>
  <r>
    <n v="607"/>
    <s v="Anita"/>
    <x v="0"/>
    <x v="3"/>
    <x v="12"/>
    <n v="9"/>
    <n v="38450"/>
    <x v="160"/>
    <n v="0"/>
    <x v="0"/>
    <x v="1"/>
    <s v="Jaipur"/>
    <n v="346050"/>
    <n v="76700.41"/>
    <x v="1"/>
    <x v="0"/>
  </r>
  <r>
    <n v="608"/>
    <s v="Sneha"/>
    <x v="2"/>
    <x v="2"/>
    <x v="5"/>
    <n v="8"/>
    <n v="3555"/>
    <x v="363"/>
    <n v="15"/>
    <x v="3"/>
    <x v="2"/>
    <s v="Mumbai"/>
    <n v="24174"/>
    <n v="5807.29"/>
    <x v="1"/>
    <x v="2"/>
  </r>
  <r>
    <n v="609"/>
    <s v="Isha"/>
    <x v="1"/>
    <x v="0"/>
    <x v="7"/>
    <n v="7"/>
    <n v="60334"/>
    <x v="141"/>
    <n v="15"/>
    <x v="3"/>
    <x v="2"/>
    <s v="Surat"/>
    <n v="358987.3"/>
    <n v="44340.09"/>
    <x v="3"/>
    <x v="0"/>
  </r>
  <r>
    <n v="610"/>
    <s v="Dev"/>
    <x v="1"/>
    <x v="0"/>
    <x v="9"/>
    <n v="1"/>
    <n v="11752"/>
    <x v="364"/>
    <n v="0"/>
    <x v="1"/>
    <x v="1"/>
    <s v="Indore"/>
    <n v="11752"/>
    <n v="1313.42"/>
    <x v="0"/>
    <x v="0"/>
  </r>
  <r>
    <n v="611"/>
    <s v="Priya"/>
    <x v="2"/>
    <x v="1"/>
    <x v="14"/>
    <n v="10"/>
    <n v="23738"/>
    <x v="365"/>
    <n v="5"/>
    <x v="5"/>
    <x v="1"/>
    <s v="Pune"/>
    <n v="225511"/>
    <n v="26804.33"/>
    <x v="2"/>
    <x v="0"/>
  </r>
  <r>
    <n v="612"/>
    <s v="Arjun"/>
    <x v="1"/>
    <x v="1"/>
    <x v="1"/>
    <n v="4"/>
    <n v="65095"/>
    <x v="366"/>
    <n v="10"/>
    <x v="0"/>
    <x v="0"/>
    <s v="Ahmedabad"/>
    <n v="234342"/>
    <n v="51194.98"/>
    <x v="2"/>
    <x v="0"/>
  </r>
  <r>
    <n v="613"/>
    <s v="Riya"/>
    <x v="0"/>
    <x v="2"/>
    <x v="5"/>
    <n v="5"/>
    <n v="48363"/>
    <x v="367"/>
    <n v="15"/>
    <x v="0"/>
    <x v="3"/>
    <s v="Mumbai"/>
    <n v="205542.75"/>
    <n v="37848.17"/>
    <x v="2"/>
    <x v="2"/>
  </r>
  <r>
    <n v="614"/>
    <s v="Neha"/>
    <x v="3"/>
    <x v="1"/>
    <x v="14"/>
    <n v="3"/>
    <n v="8976"/>
    <x v="368"/>
    <n v="5"/>
    <x v="1"/>
    <x v="0"/>
    <s v="Bengaluru"/>
    <n v="25581.599999999999"/>
    <n v="6472.16"/>
    <x v="0"/>
    <x v="0"/>
  </r>
  <r>
    <n v="615"/>
    <s v="Karan"/>
    <x v="0"/>
    <x v="1"/>
    <x v="4"/>
    <n v="9"/>
    <n v="30727"/>
    <x v="369"/>
    <n v="0"/>
    <x v="4"/>
    <x v="1"/>
    <s v="Jaipur"/>
    <n v="276543"/>
    <n v="23499.119999999999"/>
    <x v="0"/>
    <x v="0"/>
  </r>
  <r>
    <n v="616"/>
    <s v="Aman"/>
    <x v="3"/>
    <x v="3"/>
    <x v="12"/>
    <n v="2"/>
    <n v="71459"/>
    <x v="333"/>
    <n v="20"/>
    <x v="4"/>
    <x v="0"/>
    <s v="Mumbai"/>
    <n v="114334.39999999999"/>
    <n v="18357.88"/>
    <x v="3"/>
    <x v="2"/>
  </r>
  <r>
    <n v="617"/>
    <s v="Vikas"/>
    <x v="2"/>
    <x v="4"/>
    <x v="13"/>
    <n v="4"/>
    <n v="26252"/>
    <x v="370"/>
    <n v="20"/>
    <x v="1"/>
    <x v="2"/>
    <s v="Indore"/>
    <n v="84006.399999999994"/>
    <n v="17369.09"/>
    <x v="0"/>
    <x v="0"/>
  </r>
  <r>
    <n v="618"/>
    <s v="Pooja"/>
    <x v="0"/>
    <x v="1"/>
    <x v="1"/>
    <n v="7"/>
    <n v="50635"/>
    <x v="281"/>
    <n v="15"/>
    <x v="4"/>
    <x v="3"/>
    <s v="Mumbai"/>
    <n v="301278.25"/>
    <n v="61518.21"/>
    <x v="2"/>
    <x v="2"/>
  </r>
  <r>
    <n v="619"/>
    <s v="Priya"/>
    <x v="3"/>
    <x v="1"/>
    <x v="4"/>
    <n v="2"/>
    <n v="36687"/>
    <x v="34"/>
    <n v="5"/>
    <x v="3"/>
    <x v="0"/>
    <s v="Surat"/>
    <n v="69705.3"/>
    <n v="8712.16"/>
    <x v="3"/>
    <x v="2"/>
  </r>
  <r>
    <n v="620"/>
    <s v="Riya"/>
    <x v="2"/>
    <x v="4"/>
    <x v="13"/>
    <n v="9"/>
    <n v="74789"/>
    <x v="371"/>
    <n v="10"/>
    <x v="2"/>
    <x v="3"/>
    <s v="Delhi"/>
    <n v="605790.9"/>
    <n v="171434.23"/>
    <x v="3"/>
    <x v="1"/>
  </r>
  <r>
    <n v="621"/>
    <s v="Pooja"/>
    <x v="0"/>
    <x v="3"/>
    <x v="15"/>
    <n v="6"/>
    <n v="20576"/>
    <x v="372"/>
    <n v="5"/>
    <x v="3"/>
    <x v="3"/>
    <s v="Mumbai"/>
    <n v="117283.2"/>
    <n v="22586.67"/>
    <x v="3"/>
    <x v="0"/>
  </r>
  <r>
    <n v="622"/>
    <s v="Arjun"/>
    <x v="1"/>
    <x v="3"/>
    <x v="15"/>
    <n v="2"/>
    <n v="26332"/>
    <x v="248"/>
    <n v="5"/>
    <x v="5"/>
    <x v="3"/>
    <s v="Delhi"/>
    <n v="50030.8"/>
    <n v="7171.6"/>
    <x v="0"/>
    <x v="2"/>
  </r>
  <r>
    <n v="623"/>
    <s v="Pooja"/>
    <x v="0"/>
    <x v="0"/>
    <x v="0"/>
    <n v="6"/>
    <n v="26935"/>
    <x v="302"/>
    <n v="20"/>
    <x v="2"/>
    <x v="3"/>
    <s v="Pune"/>
    <n v="129288"/>
    <n v="34912.54"/>
    <x v="0"/>
    <x v="2"/>
  </r>
  <r>
    <n v="624"/>
    <s v="Anita"/>
    <x v="2"/>
    <x v="4"/>
    <x v="10"/>
    <n v="7"/>
    <n v="31135"/>
    <x v="62"/>
    <n v="20"/>
    <x v="4"/>
    <x v="2"/>
    <s v="Delhi"/>
    <n v="174356"/>
    <n v="14724.38"/>
    <x v="2"/>
    <x v="1"/>
  </r>
  <r>
    <n v="625"/>
    <s v="Isha"/>
    <x v="3"/>
    <x v="0"/>
    <x v="2"/>
    <n v="10"/>
    <n v="74179"/>
    <x v="14"/>
    <n v="15"/>
    <x v="3"/>
    <x v="1"/>
    <s v="Mumbai"/>
    <n v="630521.5"/>
    <n v="173112.2"/>
    <x v="1"/>
    <x v="1"/>
  </r>
  <r>
    <n v="626"/>
    <s v="Priya"/>
    <x v="1"/>
    <x v="1"/>
    <x v="4"/>
    <n v="9"/>
    <n v="29237"/>
    <x v="26"/>
    <n v="0"/>
    <x v="0"/>
    <x v="3"/>
    <s v="Mumbai"/>
    <n v="263133"/>
    <n v="77881.53"/>
    <x v="0"/>
    <x v="1"/>
  </r>
  <r>
    <n v="627"/>
    <s v="Pooja"/>
    <x v="0"/>
    <x v="2"/>
    <x v="3"/>
    <n v="2"/>
    <n v="13891"/>
    <x v="255"/>
    <n v="20"/>
    <x v="1"/>
    <x v="1"/>
    <s v="Jaipur"/>
    <n v="22225.599999999999"/>
    <n v="4514.8"/>
    <x v="3"/>
    <x v="2"/>
  </r>
  <r>
    <n v="628"/>
    <s v="Sneha"/>
    <x v="0"/>
    <x v="1"/>
    <x v="4"/>
    <n v="2"/>
    <n v="5512"/>
    <x v="373"/>
    <n v="10"/>
    <x v="2"/>
    <x v="2"/>
    <s v="Mumbai"/>
    <n v="9921.6"/>
    <n v="1359.9"/>
    <x v="3"/>
    <x v="0"/>
  </r>
  <r>
    <n v="629"/>
    <s v="Isha"/>
    <x v="1"/>
    <x v="0"/>
    <x v="9"/>
    <n v="1"/>
    <n v="25047"/>
    <x v="325"/>
    <n v="15"/>
    <x v="0"/>
    <x v="2"/>
    <s v="Pune"/>
    <n v="21289.95"/>
    <n v="2056.6"/>
    <x v="1"/>
    <x v="2"/>
  </r>
  <r>
    <n v="630"/>
    <s v="Riya"/>
    <x v="1"/>
    <x v="1"/>
    <x v="14"/>
    <n v="8"/>
    <n v="17613"/>
    <x v="302"/>
    <n v="10"/>
    <x v="5"/>
    <x v="0"/>
    <s v="Jaipur"/>
    <n v="126813.6"/>
    <n v="29688.45"/>
    <x v="2"/>
    <x v="1"/>
  </r>
  <r>
    <n v="631"/>
    <s v="Dev"/>
    <x v="3"/>
    <x v="3"/>
    <x v="8"/>
    <n v="9"/>
    <n v="62411"/>
    <x v="374"/>
    <n v="15"/>
    <x v="1"/>
    <x v="1"/>
    <s v="Ahmedabad"/>
    <n v="477444.15"/>
    <n v="38712.6"/>
    <x v="0"/>
    <x v="1"/>
  </r>
  <r>
    <n v="632"/>
    <s v="Aman"/>
    <x v="3"/>
    <x v="2"/>
    <x v="5"/>
    <n v="4"/>
    <n v="70570"/>
    <x v="259"/>
    <n v="10"/>
    <x v="4"/>
    <x v="3"/>
    <s v="Jaipur"/>
    <n v="254052"/>
    <n v="31159.17"/>
    <x v="0"/>
    <x v="2"/>
  </r>
  <r>
    <n v="633"/>
    <s v="Isha"/>
    <x v="0"/>
    <x v="0"/>
    <x v="7"/>
    <n v="4"/>
    <n v="74398"/>
    <x v="142"/>
    <n v="0"/>
    <x v="0"/>
    <x v="1"/>
    <s v="Delhi"/>
    <n v="297592"/>
    <n v="46598.8"/>
    <x v="2"/>
    <x v="1"/>
  </r>
  <r>
    <n v="634"/>
    <s v="Meera"/>
    <x v="2"/>
    <x v="2"/>
    <x v="3"/>
    <n v="4"/>
    <n v="74866"/>
    <x v="37"/>
    <n v="5"/>
    <x v="2"/>
    <x v="3"/>
    <s v="Ahmedabad"/>
    <n v="284490.8"/>
    <n v="69435.94"/>
    <x v="1"/>
    <x v="0"/>
  </r>
  <r>
    <n v="635"/>
    <s v="Rohit"/>
    <x v="0"/>
    <x v="4"/>
    <x v="11"/>
    <n v="4"/>
    <n v="49667"/>
    <x v="226"/>
    <n v="20"/>
    <x v="0"/>
    <x v="0"/>
    <s v="Surat"/>
    <n v="158934.39999999999"/>
    <n v="34336.65"/>
    <x v="1"/>
    <x v="2"/>
  </r>
  <r>
    <n v="636"/>
    <s v="Isha"/>
    <x v="3"/>
    <x v="0"/>
    <x v="0"/>
    <n v="9"/>
    <n v="75150"/>
    <x v="375"/>
    <n v="20"/>
    <x v="0"/>
    <x v="0"/>
    <s v="Bengaluru"/>
    <n v="541080"/>
    <n v="120256.16"/>
    <x v="1"/>
    <x v="1"/>
  </r>
  <r>
    <n v="637"/>
    <s v="Vikas"/>
    <x v="1"/>
    <x v="3"/>
    <x v="15"/>
    <n v="8"/>
    <n v="62808"/>
    <x v="376"/>
    <n v="0"/>
    <x v="2"/>
    <x v="0"/>
    <s v="Bengaluru"/>
    <n v="502464"/>
    <n v="47892.88"/>
    <x v="1"/>
    <x v="0"/>
  </r>
  <r>
    <n v="638"/>
    <s v="Arjun"/>
    <x v="3"/>
    <x v="2"/>
    <x v="6"/>
    <n v="8"/>
    <n v="3823"/>
    <x v="377"/>
    <n v="20"/>
    <x v="2"/>
    <x v="2"/>
    <s v="Bengaluru"/>
    <n v="24467.200000000001"/>
    <n v="6093.01"/>
    <x v="2"/>
    <x v="1"/>
  </r>
  <r>
    <n v="639"/>
    <s v="Dev"/>
    <x v="1"/>
    <x v="0"/>
    <x v="9"/>
    <n v="7"/>
    <n v="35958"/>
    <x v="129"/>
    <n v="10"/>
    <x v="5"/>
    <x v="0"/>
    <s v="Jaipur"/>
    <n v="226535.4"/>
    <n v="66309.61"/>
    <x v="3"/>
    <x v="0"/>
  </r>
  <r>
    <n v="640"/>
    <s v="Anita"/>
    <x v="3"/>
    <x v="1"/>
    <x v="4"/>
    <n v="8"/>
    <n v="64566"/>
    <x v="378"/>
    <n v="15"/>
    <x v="3"/>
    <x v="2"/>
    <s v="Pune"/>
    <n v="439048.8"/>
    <n v="128802.76"/>
    <x v="2"/>
    <x v="2"/>
  </r>
  <r>
    <n v="641"/>
    <s v="Riya"/>
    <x v="3"/>
    <x v="0"/>
    <x v="7"/>
    <n v="6"/>
    <n v="32010"/>
    <x v="333"/>
    <n v="5"/>
    <x v="1"/>
    <x v="1"/>
    <s v="Bengaluru"/>
    <n v="182457"/>
    <n v="40635.730000000003"/>
    <x v="3"/>
    <x v="1"/>
  </r>
  <r>
    <n v="642"/>
    <s v="Meera"/>
    <x v="3"/>
    <x v="4"/>
    <x v="11"/>
    <n v="2"/>
    <n v="54957"/>
    <x v="223"/>
    <n v="0"/>
    <x v="3"/>
    <x v="0"/>
    <s v="Surat"/>
    <n v="109914"/>
    <n v="19125.38"/>
    <x v="2"/>
    <x v="2"/>
  </r>
  <r>
    <n v="643"/>
    <s v="Rohit"/>
    <x v="2"/>
    <x v="4"/>
    <x v="13"/>
    <n v="5"/>
    <n v="16427"/>
    <x v="379"/>
    <n v="0"/>
    <x v="2"/>
    <x v="0"/>
    <s v="Jaipur"/>
    <n v="82135"/>
    <n v="24103.75"/>
    <x v="2"/>
    <x v="1"/>
  </r>
  <r>
    <n v="644"/>
    <s v="Aman"/>
    <x v="1"/>
    <x v="1"/>
    <x v="4"/>
    <n v="10"/>
    <n v="59981"/>
    <x v="254"/>
    <n v="20"/>
    <x v="3"/>
    <x v="2"/>
    <s v="Indore"/>
    <n v="479848"/>
    <n v="73811.490000000005"/>
    <x v="2"/>
    <x v="0"/>
  </r>
  <r>
    <n v="645"/>
    <s v="Dev"/>
    <x v="1"/>
    <x v="1"/>
    <x v="14"/>
    <n v="7"/>
    <n v="40597"/>
    <x v="214"/>
    <n v="0"/>
    <x v="0"/>
    <x v="0"/>
    <s v="Ahmedabad"/>
    <n v="284179"/>
    <n v="24103.61"/>
    <x v="2"/>
    <x v="0"/>
  </r>
  <r>
    <n v="646"/>
    <s v="Sneha"/>
    <x v="0"/>
    <x v="0"/>
    <x v="7"/>
    <n v="7"/>
    <n v="8934"/>
    <x v="108"/>
    <n v="20"/>
    <x v="3"/>
    <x v="2"/>
    <s v="Mumbai"/>
    <n v="50030.400000000001"/>
    <n v="12446.26"/>
    <x v="3"/>
    <x v="1"/>
  </r>
  <r>
    <n v="647"/>
    <s v="Anita"/>
    <x v="3"/>
    <x v="1"/>
    <x v="1"/>
    <n v="2"/>
    <n v="35545"/>
    <x v="380"/>
    <n v="15"/>
    <x v="5"/>
    <x v="2"/>
    <s v="Ahmedabad"/>
    <n v="60426.5"/>
    <n v="8027.62"/>
    <x v="3"/>
    <x v="0"/>
  </r>
  <r>
    <n v="648"/>
    <s v="Pooja"/>
    <x v="1"/>
    <x v="4"/>
    <x v="11"/>
    <n v="1"/>
    <n v="36412"/>
    <x v="381"/>
    <n v="15"/>
    <x v="4"/>
    <x v="1"/>
    <s v="Bengaluru"/>
    <n v="30950.2"/>
    <n v="4394.2"/>
    <x v="3"/>
    <x v="2"/>
  </r>
  <r>
    <n v="649"/>
    <s v="Neha"/>
    <x v="0"/>
    <x v="1"/>
    <x v="4"/>
    <n v="1"/>
    <n v="29828"/>
    <x v="306"/>
    <n v="20"/>
    <x v="5"/>
    <x v="3"/>
    <s v="Bengaluru"/>
    <n v="23862.400000000001"/>
    <n v="3435.9"/>
    <x v="2"/>
    <x v="2"/>
  </r>
  <r>
    <n v="650"/>
    <s v="Sneha"/>
    <x v="0"/>
    <x v="2"/>
    <x v="6"/>
    <n v="5"/>
    <n v="65196"/>
    <x v="382"/>
    <n v="10"/>
    <x v="3"/>
    <x v="2"/>
    <s v="Mumbai"/>
    <n v="293382"/>
    <n v="42152.82"/>
    <x v="1"/>
    <x v="1"/>
  </r>
  <r>
    <n v="651"/>
    <s v="Riya"/>
    <x v="1"/>
    <x v="1"/>
    <x v="4"/>
    <n v="6"/>
    <n v="24433"/>
    <x v="383"/>
    <n v="5"/>
    <x v="4"/>
    <x v="3"/>
    <s v="Mumbai"/>
    <n v="139268.1"/>
    <n v="16730.37"/>
    <x v="0"/>
    <x v="2"/>
  </r>
  <r>
    <n v="652"/>
    <s v="Arjun"/>
    <x v="2"/>
    <x v="4"/>
    <x v="13"/>
    <n v="6"/>
    <n v="7138"/>
    <x v="384"/>
    <n v="0"/>
    <x v="3"/>
    <x v="3"/>
    <s v="Delhi"/>
    <n v="42828"/>
    <n v="10749.9"/>
    <x v="0"/>
    <x v="1"/>
  </r>
  <r>
    <n v="653"/>
    <s v="Arjun"/>
    <x v="3"/>
    <x v="3"/>
    <x v="15"/>
    <n v="1"/>
    <n v="26743"/>
    <x v="385"/>
    <n v="10"/>
    <x v="0"/>
    <x v="3"/>
    <s v="Jaipur"/>
    <n v="24068.7"/>
    <n v="2385.89"/>
    <x v="3"/>
    <x v="1"/>
  </r>
  <r>
    <n v="654"/>
    <s v="Arjun"/>
    <x v="2"/>
    <x v="3"/>
    <x v="12"/>
    <n v="4"/>
    <n v="76516"/>
    <x v="25"/>
    <n v="10"/>
    <x v="2"/>
    <x v="0"/>
    <s v="Indore"/>
    <n v="275457.59999999998"/>
    <n v="41057.370000000003"/>
    <x v="1"/>
    <x v="2"/>
  </r>
  <r>
    <n v="655"/>
    <s v="Rohit"/>
    <x v="1"/>
    <x v="3"/>
    <x v="8"/>
    <n v="2"/>
    <n v="9291"/>
    <x v="224"/>
    <n v="15"/>
    <x v="3"/>
    <x v="3"/>
    <s v="Indore"/>
    <n v="15794.7"/>
    <n v="1606.36"/>
    <x v="3"/>
    <x v="0"/>
  </r>
  <r>
    <n v="656"/>
    <s v="Karan"/>
    <x v="1"/>
    <x v="0"/>
    <x v="9"/>
    <n v="5"/>
    <n v="67531"/>
    <x v="114"/>
    <n v="15"/>
    <x v="4"/>
    <x v="1"/>
    <s v="Bengaluru"/>
    <n v="287006.75"/>
    <n v="56015.58"/>
    <x v="0"/>
    <x v="0"/>
  </r>
  <r>
    <n v="657"/>
    <s v="Karan"/>
    <x v="1"/>
    <x v="3"/>
    <x v="8"/>
    <n v="1"/>
    <n v="22980"/>
    <x v="386"/>
    <n v="20"/>
    <x v="4"/>
    <x v="1"/>
    <s v="Indore"/>
    <n v="18384"/>
    <n v="1945.9"/>
    <x v="1"/>
    <x v="1"/>
  </r>
  <r>
    <n v="658"/>
    <s v="Aman"/>
    <x v="3"/>
    <x v="2"/>
    <x v="6"/>
    <n v="6"/>
    <n v="66287"/>
    <x v="387"/>
    <n v="5"/>
    <x v="1"/>
    <x v="3"/>
    <s v="Ahmedabad"/>
    <n v="377835.9"/>
    <n v="99264.19"/>
    <x v="0"/>
    <x v="2"/>
  </r>
  <r>
    <n v="659"/>
    <s v="Riya"/>
    <x v="0"/>
    <x v="4"/>
    <x v="13"/>
    <n v="7"/>
    <n v="22453"/>
    <x v="216"/>
    <n v="20"/>
    <x v="4"/>
    <x v="3"/>
    <s v="Indore"/>
    <n v="125736.8"/>
    <n v="34082.370000000003"/>
    <x v="3"/>
    <x v="0"/>
  </r>
  <r>
    <n v="660"/>
    <s v="Sneha"/>
    <x v="1"/>
    <x v="4"/>
    <x v="11"/>
    <n v="8"/>
    <n v="77850"/>
    <x v="282"/>
    <n v="15"/>
    <x v="5"/>
    <x v="3"/>
    <s v="Jaipur"/>
    <n v="529380"/>
    <n v="85144.79"/>
    <x v="2"/>
    <x v="2"/>
  </r>
  <r>
    <n v="661"/>
    <s v="Isha"/>
    <x v="0"/>
    <x v="0"/>
    <x v="7"/>
    <n v="6"/>
    <n v="78928"/>
    <x v="388"/>
    <n v="15"/>
    <x v="5"/>
    <x v="0"/>
    <s v="Delhi"/>
    <n v="402532.8"/>
    <n v="78427.259999999995"/>
    <x v="2"/>
    <x v="1"/>
  </r>
  <r>
    <n v="662"/>
    <s v="Pooja"/>
    <x v="1"/>
    <x v="0"/>
    <x v="2"/>
    <n v="10"/>
    <n v="39655"/>
    <x v="163"/>
    <n v="20"/>
    <x v="3"/>
    <x v="0"/>
    <s v="Bengaluru"/>
    <n v="317240"/>
    <n v="78488.5"/>
    <x v="1"/>
    <x v="0"/>
  </r>
  <r>
    <n v="663"/>
    <s v="Sneha"/>
    <x v="1"/>
    <x v="0"/>
    <x v="0"/>
    <n v="5"/>
    <n v="12282"/>
    <x v="259"/>
    <n v="0"/>
    <x v="4"/>
    <x v="0"/>
    <s v="Delhi"/>
    <n v="61410"/>
    <n v="9139.81"/>
    <x v="1"/>
    <x v="2"/>
  </r>
  <r>
    <n v="664"/>
    <s v="Sneha"/>
    <x v="0"/>
    <x v="3"/>
    <x v="8"/>
    <n v="10"/>
    <n v="21602"/>
    <x v="389"/>
    <n v="5"/>
    <x v="2"/>
    <x v="2"/>
    <s v="Mumbai"/>
    <n v="205219"/>
    <n v="54889.3"/>
    <x v="3"/>
    <x v="0"/>
  </r>
  <r>
    <n v="665"/>
    <s v="Vikas"/>
    <x v="1"/>
    <x v="3"/>
    <x v="8"/>
    <n v="4"/>
    <n v="72847"/>
    <x v="390"/>
    <n v="0"/>
    <x v="4"/>
    <x v="2"/>
    <s v="Surat"/>
    <n v="291388"/>
    <n v="69967.899999999994"/>
    <x v="2"/>
    <x v="1"/>
  </r>
  <r>
    <n v="666"/>
    <s v="Neha"/>
    <x v="0"/>
    <x v="2"/>
    <x v="5"/>
    <n v="1"/>
    <n v="68851"/>
    <x v="391"/>
    <n v="0"/>
    <x v="3"/>
    <x v="1"/>
    <s v="Bengaluru"/>
    <n v="68851"/>
    <n v="8679.6200000000008"/>
    <x v="3"/>
    <x v="0"/>
  </r>
  <r>
    <n v="667"/>
    <s v="Aman"/>
    <x v="0"/>
    <x v="2"/>
    <x v="3"/>
    <n v="5"/>
    <n v="75074"/>
    <x v="392"/>
    <n v="10"/>
    <x v="2"/>
    <x v="2"/>
    <s v="Jaipur"/>
    <n v="337833"/>
    <n v="59256.29"/>
    <x v="1"/>
    <x v="2"/>
  </r>
  <r>
    <n v="668"/>
    <s v="Arjun"/>
    <x v="1"/>
    <x v="3"/>
    <x v="12"/>
    <n v="8"/>
    <n v="33999"/>
    <x v="324"/>
    <n v="0"/>
    <x v="1"/>
    <x v="2"/>
    <s v="Indore"/>
    <n v="271992"/>
    <n v="33788.18"/>
    <x v="3"/>
    <x v="0"/>
  </r>
  <r>
    <n v="669"/>
    <s v="Rohit"/>
    <x v="2"/>
    <x v="2"/>
    <x v="6"/>
    <n v="5"/>
    <n v="67298"/>
    <x v="158"/>
    <n v="10"/>
    <x v="2"/>
    <x v="3"/>
    <s v="Jaipur"/>
    <n v="302841"/>
    <n v="74815.199999999997"/>
    <x v="1"/>
    <x v="1"/>
  </r>
  <r>
    <n v="670"/>
    <s v="Dev"/>
    <x v="1"/>
    <x v="2"/>
    <x v="3"/>
    <n v="10"/>
    <n v="42136"/>
    <x v="227"/>
    <n v="5"/>
    <x v="4"/>
    <x v="2"/>
    <s v="Mumbai"/>
    <n v="400292"/>
    <n v="61065.2"/>
    <x v="0"/>
    <x v="1"/>
  </r>
  <r>
    <n v="671"/>
    <s v="Priya"/>
    <x v="1"/>
    <x v="3"/>
    <x v="15"/>
    <n v="3"/>
    <n v="68246"/>
    <x v="393"/>
    <n v="10"/>
    <x v="1"/>
    <x v="1"/>
    <s v="Surat"/>
    <n v="184264.2"/>
    <n v="54263.74"/>
    <x v="0"/>
    <x v="2"/>
  </r>
  <r>
    <n v="672"/>
    <s v="Vikas"/>
    <x v="2"/>
    <x v="1"/>
    <x v="14"/>
    <n v="10"/>
    <n v="17432"/>
    <x v="334"/>
    <n v="10"/>
    <x v="2"/>
    <x v="3"/>
    <s v="Pune"/>
    <n v="156888"/>
    <n v="19313.57"/>
    <x v="1"/>
    <x v="1"/>
  </r>
  <r>
    <n v="673"/>
    <s v="Priya"/>
    <x v="2"/>
    <x v="2"/>
    <x v="3"/>
    <n v="2"/>
    <n v="32700"/>
    <x v="394"/>
    <n v="5"/>
    <x v="0"/>
    <x v="1"/>
    <s v="Mumbai"/>
    <n v="62130"/>
    <n v="9095.4599999999991"/>
    <x v="2"/>
    <x v="0"/>
  </r>
  <r>
    <n v="674"/>
    <s v="Anita"/>
    <x v="0"/>
    <x v="0"/>
    <x v="2"/>
    <n v="2"/>
    <n v="46697"/>
    <x v="395"/>
    <n v="5"/>
    <x v="0"/>
    <x v="0"/>
    <s v="Mumbai"/>
    <n v="88724.3"/>
    <n v="10302.65"/>
    <x v="1"/>
    <x v="2"/>
  </r>
  <r>
    <n v="675"/>
    <s v="Priya"/>
    <x v="3"/>
    <x v="0"/>
    <x v="2"/>
    <n v="7"/>
    <n v="73918"/>
    <x v="68"/>
    <n v="5"/>
    <x v="4"/>
    <x v="2"/>
    <s v="Surat"/>
    <n v="491554.7"/>
    <n v="107003.21"/>
    <x v="3"/>
    <x v="0"/>
  </r>
  <r>
    <n v="676"/>
    <s v="Riya"/>
    <x v="3"/>
    <x v="0"/>
    <x v="2"/>
    <n v="5"/>
    <n v="49135"/>
    <x v="26"/>
    <n v="5"/>
    <x v="4"/>
    <x v="1"/>
    <s v="Pune"/>
    <n v="233391.25"/>
    <n v="68616.710000000006"/>
    <x v="1"/>
    <x v="0"/>
  </r>
  <r>
    <n v="677"/>
    <s v="Pooja"/>
    <x v="3"/>
    <x v="1"/>
    <x v="14"/>
    <n v="8"/>
    <n v="13091"/>
    <x v="241"/>
    <n v="5"/>
    <x v="1"/>
    <x v="2"/>
    <s v="Ahmedabad"/>
    <n v="99491.6"/>
    <n v="18765.39"/>
    <x v="2"/>
    <x v="1"/>
  </r>
  <r>
    <n v="678"/>
    <s v="Anita"/>
    <x v="3"/>
    <x v="1"/>
    <x v="1"/>
    <n v="2"/>
    <n v="74374"/>
    <x v="296"/>
    <n v="10"/>
    <x v="0"/>
    <x v="1"/>
    <s v="Delhi"/>
    <n v="133873.20000000001"/>
    <n v="35578.550000000003"/>
    <x v="3"/>
    <x v="0"/>
  </r>
  <r>
    <n v="679"/>
    <s v="Rahul"/>
    <x v="1"/>
    <x v="3"/>
    <x v="15"/>
    <n v="6"/>
    <n v="17390"/>
    <x v="396"/>
    <n v="0"/>
    <x v="1"/>
    <x v="0"/>
    <s v="Delhi"/>
    <n v="104340"/>
    <n v="26979.99"/>
    <x v="2"/>
    <x v="0"/>
  </r>
  <r>
    <n v="680"/>
    <s v="Aman"/>
    <x v="3"/>
    <x v="2"/>
    <x v="6"/>
    <n v="9"/>
    <n v="50183"/>
    <x v="259"/>
    <n v="15"/>
    <x v="2"/>
    <x v="2"/>
    <s v="Mumbai"/>
    <n v="383899.95"/>
    <n v="55098.67"/>
    <x v="0"/>
    <x v="0"/>
  </r>
  <r>
    <n v="681"/>
    <s v="Meera"/>
    <x v="0"/>
    <x v="2"/>
    <x v="3"/>
    <n v="2"/>
    <n v="52139"/>
    <x v="88"/>
    <n v="0"/>
    <x v="4"/>
    <x v="1"/>
    <s v="Ahmedabad"/>
    <n v="104278"/>
    <n v="13021.79"/>
    <x v="3"/>
    <x v="1"/>
  </r>
  <r>
    <n v="682"/>
    <s v="Priya"/>
    <x v="0"/>
    <x v="2"/>
    <x v="3"/>
    <n v="10"/>
    <n v="3751"/>
    <x v="397"/>
    <n v="0"/>
    <x v="4"/>
    <x v="2"/>
    <s v="Pune"/>
    <n v="37510"/>
    <n v="6673.49"/>
    <x v="3"/>
    <x v="0"/>
  </r>
  <r>
    <n v="683"/>
    <s v="Rahul"/>
    <x v="1"/>
    <x v="4"/>
    <x v="10"/>
    <n v="1"/>
    <n v="23947"/>
    <x v="398"/>
    <n v="0"/>
    <x v="5"/>
    <x v="0"/>
    <s v="Ahmedabad"/>
    <n v="23947"/>
    <n v="3134.73"/>
    <x v="3"/>
    <x v="1"/>
  </r>
  <r>
    <n v="684"/>
    <s v="Arjun"/>
    <x v="2"/>
    <x v="0"/>
    <x v="9"/>
    <n v="4"/>
    <n v="53404"/>
    <x v="219"/>
    <n v="5"/>
    <x v="0"/>
    <x v="1"/>
    <s v="Mumbai"/>
    <n v="202935.2"/>
    <n v="27343.21"/>
    <x v="2"/>
    <x v="2"/>
  </r>
  <r>
    <n v="685"/>
    <s v="Pooja"/>
    <x v="1"/>
    <x v="2"/>
    <x v="6"/>
    <n v="10"/>
    <n v="57506"/>
    <x v="399"/>
    <n v="0"/>
    <x v="2"/>
    <x v="1"/>
    <s v="Ahmedabad"/>
    <n v="575060"/>
    <n v="119958.48"/>
    <x v="1"/>
    <x v="0"/>
  </r>
  <r>
    <n v="686"/>
    <s v="Vikas"/>
    <x v="1"/>
    <x v="1"/>
    <x v="14"/>
    <n v="2"/>
    <n v="39360"/>
    <x v="198"/>
    <n v="10"/>
    <x v="3"/>
    <x v="1"/>
    <s v="Pune"/>
    <n v="70848"/>
    <n v="15666.68"/>
    <x v="0"/>
    <x v="0"/>
  </r>
  <r>
    <n v="687"/>
    <s v="Rohit"/>
    <x v="2"/>
    <x v="2"/>
    <x v="5"/>
    <n v="5"/>
    <n v="53096"/>
    <x v="400"/>
    <n v="15"/>
    <x v="1"/>
    <x v="2"/>
    <s v="Jaipur"/>
    <n v="225658"/>
    <n v="38490.589999999997"/>
    <x v="3"/>
    <x v="1"/>
  </r>
  <r>
    <n v="688"/>
    <s v="Dev"/>
    <x v="3"/>
    <x v="4"/>
    <x v="11"/>
    <n v="7"/>
    <n v="50114"/>
    <x v="299"/>
    <n v="20"/>
    <x v="0"/>
    <x v="3"/>
    <s v="Pune"/>
    <n v="280638.40000000002"/>
    <n v="69630.16"/>
    <x v="3"/>
    <x v="1"/>
  </r>
  <r>
    <n v="689"/>
    <s v="Arjun"/>
    <x v="3"/>
    <x v="1"/>
    <x v="14"/>
    <n v="6"/>
    <n v="51130"/>
    <x v="401"/>
    <n v="0"/>
    <x v="3"/>
    <x v="1"/>
    <s v="Jaipur"/>
    <n v="306780"/>
    <n v="56651.41"/>
    <x v="1"/>
    <x v="2"/>
  </r>
  <r>
    <n v="690"/>
    <s v="Riya"/>
    <x v="0"/>
    <x v="2"/>
    <x v="5"/>
    <n v="1"/>
    <n v="70230"/>
    <x v="92"/>
    <n v="15"/>
    <x v="2"/>
    <x v="3"/>
    <s v="Delhi"/>
    <n v="59695.5"/>
    <n v="9123.5300000000007"/>
    <x v="3"/>
    <x v="0"/>
  </r>
  <r>
    <n v="691"/>
    <s v="Pooja"/>
    <x v="3"/>
    <x v="2"/>
    <x v="5"/>
    <n v="1"/>
    <n v="530"/>
    <x v="402"/>
    <n v="0"/>
    <x v="2"/>
    <x v="1"/>
    <s v="Indore"/>
    <n v="530"/>
    <n v="108.84"/>
    <x v="3"/>
    <x v="0"/>
  </r>
  <r>
    <n v="692"/>
    <s v="Dev"/>
    <x v="1"/>
    <x v="4"/>
    <x v="10"/>
    <n v="5"/>
    <n v="7996"/>
    <x v="296"/>
    <n v="20"/>
    <x v="0"/>
    <x v="0"/>
    <s v="Mumbai"/>
    <n v="31984"/>
    <n v="5862.85"/>
    <x v="0"/>
    <x v="1"/>
  </r>
  <r>
    <n v="693"/>
    <s v="Sneha"/>
    <x v="3"/>
    <x v="2"/>
    <x v="5"/>
    <n v="3"/>
    <n v="72913"/>
    <x v="403"/>
    <n v="15"/>
    <x v="2"/>
    <x v="1"/>
    <s v="Bengaluru"/>
    <n v="185928.15"/>
    <n v="15003.43"/>
    <x v="1"/>
    <x v="1"/>
  </r>
  <r>
    <n v="694"/>
    <s v="Arjun"/>
    <x v="1"/>
    <x v="3"/>
    <x v="15"/>
    <n v="6"/>
    <n v="10691"/>
    <x v="404"/>
    <n v="5"/>
    <x v="5"/>
    <x v="2"/>
    <s v="Jaipur"/>
    <n v="60938.7"/>
    <n v="7368.35"/>
    <x v="1"/>
    <x v="2"/>
  </r>
  <r>
    <n v="695"/>
    <s v="Pooja"/>
    <x v="2"/>
    <x v="1"/>
    <x v="14"/>
    <n v="2"/>
    <n v="75702"/>
    <x v="228"/>
    <n v="10"/>
    <x v="4"/>
    <x v="1"/>
    <s v="Ahmedabad"/>
    <n v="136263.6"/>
    <n v="15738.86"/>
    <x v="0"/>
    <x v="1"/>
  </r>
  <r>
    <n v="696"/>
    <s v="Riya"/>
    <x v="1"/>
    <x v="3"/>
    <x v="15"/>
    <n v="5"/>
    <n v="67200"/>
    <x v="405"/>
    <n v="0"/>
    <x v="4"/>
    <x v="0"/>
    <s v="Surat"/>
    <n v="336000"/>
    <n v="32180.32"/>
    <x v="0"/>
    <x v="0"/>
  </r>
  <r>
    <n v="697"/>
    <s v="Rohit"/>
    <x v="3"/>
    <x v="2"/>
    <x v="5"/>
    <n v="10"/>
    <n v="59145"/>
    <x v="185"/>
    <n v="5"/>
    <x v="4"/>
    <x v="1"/>
    <s v="Delhi"/>
    <n v="561877.5"/>
    <n v="132675.79"/>
    <x v="0"/>
    <x v="0"/>
  </r>
  <r>
    <n v="698"/>
    <s v="Karan"/>
    <x v="0"/>
    <x v="2"/>
    <x v="6"/>
    <n v="1"/>
    <n v="39207"/>
    <x v="406"/>
    <n v="5"/>
    <x v="2"/>
    <x v="3"/>
    <s v="Jaipur"/>
    <n v="37246.65"/>
    <n v="7580.55"/>
    <x v="1"/>
    <x v="0"/>
  </r>
  <r>
    <n v="699"/>
    <s v="Meera"/>
    <x v="1"/>
    <x v="2"/>
    <x v="3"/>
    <n v="9"/>
    <n v="30085"/>
    <x v="407"/>
    <n v="20"/>
    <x v="0"/>
    <x v="2"/>
    <s v="Mumbai"/>
    <n v="216612"/>
    <n v="47774.2"/>
    <x v="0"/>
    <x v="1"/>
  </r>
  <r>
    <n v="700"/>
    <s v="Dev"/>
    <x v="1"/>
    <x v="3"/>
    <x v="15"/>
    <n v="6"/>
    <n v="68928"/>
    <x v="408"/>
    <n v="5"/>
    <x v="5"/>
    <x v="1"/>
    <s v="Delhi"/>
    <n v="392889.59999999998"/>
    <n v="104229.05"/>
    <x v="0"/>
    <x v="0"/>
  </r>
  <r>
    <n v="701"/>
    <s v="Dev"/>
    <x v="1"/>
    <x v="1"/>
    <x v="4"/>
    <n v="4"/>
    <n v="21504"/>
    <x v="352"/>
    <n v="5"/>
    <x v="2"/>
    <x v="3"/>
    <s v="Bengaluru"/>
    <n v="81715.199999999997"/>
    <n v="9336.4599999999991"/>
    <x v="3"/>
    <x v="2"/>
  </r>
  <r>
    <n v="702"/>
    <s v="Karan"/>
    <x v="3"/>
    <x v="1"/>
    <x v="4"/>
    <n v="1"/>
    <n v="51572"/>
    <x v="293"/>
    <n v="5"/>
    <x v="4"/>
    <x v="1"/>
    <s v="Ahmedabad"/>
    <n v="48993.4"/>
    <n v="11647.7"/>
    <x v="3"/>
    <x v="1"/>
  </r>
  <r>
    <n v="703"/>
    <s v="Priya"/>
    <x v="0"/>
    <x v="0"/>
    <x v="2"/>
    <n v="10"/>
    <n v="8398"/>
    <x v="409"/>
    <n v="15"/>
    <x v="3"/>
    <x v="0"/>
    <s v="Pune"/>
    <n v="71383"/>
    <n v="10302.68"/>
    <x v="0"/>
    <x v="1"/>
  </r>
  <r>
    <n v="704"/>
    <s v="Rahul"/>
    <x v="0"/>
    <x v="0"/>
    <x v="7"/>
    <n v="9"/>
    <n v="64280"/>
    <x v="410"/>
    <n v="5"/>
    <x v="0"/>
    <x v="1"/>
    <s v="Pune"/>
    <n v="549594"/>
    <n v="116188.3"/>
    <x v="3"/>
    <x v="1"/>
  </r>
  <r>
    <n v="705"/>
    <s v="Vikas"/>
    <x v="3"/>
    <x v="4"/>
    <x v="11"/>
    <n v="2"/>
    <n v="6455"/>
    <x v="14"/>
    <n v="0"/>
    <x v="2"/>
    <x v="1"/>
    <s v="Surat"/>
    <n v="12910"/>
    <n v="1097.52"/>
    <x v="3"/>
    <x v="1"/>
  </r>
  <r>
    <n v="706"/>
    <s v="Anita"/>
    <x v="1"/>
    <x v="3"/>
    <x v="8"/>
    <n v="2"/>
    <n v="57069"/>
    <x v="411"/>
    <n v="10"/>
    <x v="0"/>
    <x v="3"/>
    <s v="Indore"/>
    <n v="102724.2"/>
    <n v="28001.86"/>
    <x v="2"/>
    <x v="0"/>
  </r>
  <r>
    <n v="707"/>
    <s v="Neha"/>
    <x v="3"/>
    <x v="0"/>
    <x v="0"/>
    <n v="4"/>
    <n v="16042"/>
    <x v="369"/>
    <n v="5"/>
    <x v="2"/>
    <x v="3"/>
    <s v="Jaipur"/>
    <n v="60959.6"/>
    <n v="10223.64"/>
    <x v="1"/>
    <x v="0"/>
  </r>
  <r>
    <n v="708"/>
    <s v="Aman"/>
    <x v="3"/>
    <x v="3"/>
    <x v="12"/>
    <n v="2"/>
    <n v="59303"/>
    <x v="412"/>
    <n v="20"/>
    <x v="5"/>
    <x v="0"/>
    <s v="Ahmedabad"/>
    <n v="94884.800000000003"/>
    <n v="15434.12"/>
    <x v="3"/>
    <x v="2"/>
  </r>
  <r>
    <n v="709"/>
    <s v="Isha"/>
    <x v="2"/>
    <x v="3"/>
    <x v="8"/>
    <n v="2"/>
    <n v="57025"/>
    <x v="413"/>
    <n v="0"/>
    <x v="0"/>
    <x v="1"/>
    <s v="Jaipur"/>
    <n v="114050"/>
    <n v="21858.12"/>
    <x v="1"/>
    <x v="2"/>
  </r>
  <r>
    <n v="710"/>
    <s v="Neha"/>
    <x v="0"/>
    <x v="0"/>
    <x v="0"/>
    <n v="7"/>
    <n v="65854"/>
    <x v="414"/>
    <n v="0"/>
    <x v="4"/>
    <x v="3"/>
    <s v="Surat"/>
    <n v="460978"/>
    <n v="69473.05"/>
    <x v="2"/>
    <x v="1"/>
  </r>
  <r>
    <n v="711"/>
    <s v="Meera"/>
    <x v="0"/>
    <x v="0"/>
    <x v="2"/>
    <n v="6"/>
    <n v="63759"/>
    <x v="415"/>
    <n v="5"/>
    <x v="2"/>
    <x v="2"/>
    <s v="Pune"/>
    <n v="363426.3"/>
    <n v="98058.6"/>
    <x v="2"/>
    <x v="0"/>
  </r>
  <r>
    <n v="712"/>
    <s v="Sneha"/>
    <x v="3"/>
    <x v="1"/>
    <x v="4"/>
    <n v="10"/>
    <n v="63526"/>
    <x v="308"/>
    <n v="15"/>
    <x v="1"/>
    <x v="0"/>
    <s v="Pune"/>
    <n v="539971"/>
    <n v="130015.14"/>
    <x v="0"/>
    <x v="2"/>
  </r>
  <r>
    <n v="713"/>
    <s v="Dev"/>
    <x v="3"/>
    <x v="4"/>
    <x v="11"/>
    <n v="3"/>
    <n v="1695"/>
    <x v="416"/>
    <n v="15"/>
    <x v="1"/>
    <x v="1"/>
    <s v="Jaipur"/>
    <n v="4322.25"/>
    <n v="475.2"/>
    <x v="2"/>
    <x v="2"/>
  </r>
  <r>
    <n v="714"/>
    <s v="Meera"/>
    <x v="3"/>
    <x v="0"/>
    <x v="2"/>
    <n v="3"/>
    <n v="46613"/>
    <x v="167"/>
    <n v="20"/>
    <x v="2"/>
    <x v="0"/>
    <s v="Jaipur"/>
    <n v="111871.2"/>
    <n v="21467.86"/>
    <x v="1"/>
    <x v="1"/>
  </r>
  <r>
    <n v="715"/>
    <s v="Neha"/>
    <x v="1"/>
    <x v="2"/>
    <x v="3"/>
    <n v="2"/>
    <n v="35497"/>
    <x v="297"/>
    <n v="20"/>
    <x v="5"/>
    <x v="3"/>
    <s v="Pune"/>
    <n v="56795.199999999997"/>
    <n v="6076.34"/>
    <x v="2"/>
    <x v="0"/>
  </r>
  <r>
    <n v="716"/>
    <s v="Isha"/>
    <x v="3"/>
    <x v="3"/>
    <x v="8"/>
    <n v="8"/>
    <n v="48080"/>
    <x v="417"/>
    <n v="20"/>
    <x v="5"/>
    <x v="0"/>
    <s v="Pune"/>
    <n v="307712"/>
    <n v="81043.95"/>
    <x v="2"/>
    <x v="1"/>
  </r>
  <r>
    <n v="717"/>
    <s v="Anita"/>
    <x v="3"/>
    <x v="4"/>
    <x v="11"/>
    <n v="7"/>
    <n v="77701"/>
    <x v="418"/>
    <n v="10"/>
    <x v="4"/>
    <x v="1"/>
    <s v="Mumbai"/>
    <n v="489516.3"/>
    <n v="86566.39"/>
    <x v="0"/>
    <x v="2"/>
  </r>
  <r>
    <n v="718"/>
    <s v="Rohit"/>
    <x v="0"/>
    <x v="1"/>
    <x v="1"/>
    <n v="9"/>
    <n v="72899"/>
    <x v="331"/>
    <n v="15"/>
    <x v="1"/>
    <x v="3"/>
    <s v="Bengaluru"/>
    <n v="557677.35"/>
    <n v="118716.48"/>
    <x v="2"/>
    <x v="2"/>
  </r>
  <r>
    <n v="719"/>
    <s v="Arjun"/>
    <x v="3"/>
    <x v="1"/>
    <x v="1"/>
    <n v="8"/>
    <n v="20519"/>
    <x v="171"/>
    <n v="5"/>
    <x v="2"/>
    <x v="3"/>
    <s v="Jaipur"/>
    <n v="155944.4"/>
    <n v="19433.830000000002"/>
    <x v="3"/>
    <x v="1"/>
  </r>
  <r>
    <n v="720"/>
    <s v="Neha"/>
    <x v="2"/>
    <x v="2"/>
    <x v="5"/>
    <n v="1"/>
    <n v="13906"/>
    <x v="419"/>
    <n v="15"/>
    <x v="4"/>
    <x v="2"/>
    <s v="Jaipur"/>
    <n v="11820.1"/>
    <n v="1229.93"/>
    <x v="3"/>
    <x v="1"/>
  </r>
  <r>
    <n v="721"/>
    <s v="Riya"/>
    <x v="3"/>
    <x v="4"/>
    <x v="11"/>
    <n v="7"/>
    <n v="30898"/>
    <x v="420"/>
    <n v="20"/>
    <x v="1"/>
    <x v="0"/>
    <s v="Surat"/>
    <n v="173028.8"/>
    <n v="17138.61"/>
    <x v="3"/>
    <x v="1"/>
  </r>
  <r>
    <n v="722"/>
    <s v="Isha"/>
    <x v="0"/>
    <x v="1"/>
    <x v="4"/>
    <n v="6"/>
    <n v="67559"/>
    <x v="421"/>
    <n v="0"/>
    <x v="5"/>
    <x v="0"/>
    <s v="Jaipur"/>
    <n v="405354"/>
    <n v="97422.8"/>
    <x v="2"/>
    <x v="0"/>
  </r>
  <r>
    <n v="723"/>
    <s v="Arjun"/>
    <x v="0"/>
    <x v="2"/>
    <x v="3"/>
    <n v="2"/>
    <n v="35930"/>
    <x v="304"/>
    <n v="20"/>
    <x v="0"/>
    <x v="3"/>
    <s v="Indore"/>
    <n v="57488"/>
    <n v="9349.2900000000009"/>
    <x v="1"/>
    <x v="1"/>
  </r>
  <r>
    <n v="724"/>
    <s v="Riya"/>
    <x v="0"/>
    <x v="1"/>
    <x v="14"/>
    <n v="1"/>
    <n v="36589"/>
    <x v="99"/>
    <n v="5"/>
    <x v="5"/>
    <x v="0"/>
    <s v="Indore"/>
    <n v="34759.550000000003"/>
    <n v="5185.66"/>
    <x v="2"/>
    <x v="0"/>
  </r>
  <r>
    <n v="725"/>
    <s v="Anita"/>
    <x v="3"/>
    <x v="0"/>
    <x v="9"/>
    <n v="6"/>
    <n v="45948"/>
    <x v="422"/>
    <n v="5"/>
    <x v="4"/>
    <x v="2"/>
    <s v="Bengaluru"/>
    <n v="261903.6"/>
    <n v="53982.55"/>
    <x v="3"/>
    <x v="1"/>
  </r>
  <r>
    <n v="726"/>
    <s v="Sneha"/>
    <x v="1"/>
    <x v="4"/>
    <x v="11"/>
    <n v="4"/>
    <n v="67744"/>
    <x v="423"/>
    <n v="20"/>
    <x v="2"/>
    <x v="1"/>
    <s v="Indore"/>
    <n v="216780.79999999999"/>
    <n v="55932.22"/>
    <x v="1"/>
    <x v="1"/>
  </r>
  <r>
    <n v="727"/>
    <s v="Arjun"/>
    <x v="3"/>
    <x v="0"/>
    <x v="2"/>
    <n v="8"/>
    <n v="42057"/>
    <x v="424"/>
    <n v="5"/>
    <x v="5"/>
    <x v="1"/>
    <s v="Surat"/>
    <n v="319633.2"/>
    <n v="34839.620000000003"/>
    <x v="0"/>
    <x v="0"/>
  </r>
  <r>
    <n v="728"/>
    <s v="Vikas"/>
    <x v="1"/>
    <x v="1"/>
    <x v="14"/>
    <n v="4"/>
    <n v="28987"/>
    <x v="281"/>
    <n v="15"/>
    <x v="0"/>
    <x v="1"/>
    <s v="Jaipur"/>
    <n v="98555.8"/>
    <n v="14401.61"/>
    <x v="0"/>
    <x v="0"/>
  </r>
  <r>
    <n v="729"/>
    <s v="Aman"/>
    <x v="1"/>
    <x v="3"/>
    <x v="15"/>
    <n v="8"/>
    <n v="26479"/>
    <x v="204"/>
    <n v="15"/>
    <x v="5"/>
    <x v="0"/>
    <s v="Delhi"/>
    <n v="180057.2"/>
    <n v="17288.37"/>
    <x v="3"/>
    <x v="2"/>
  </r>
  <r>
    <n v="730"/>
    <s v="Vikas"/>
    <x v="1"/>
    <x v="4"/>
    <x v="11"/>
    <n v="3"/>
    <n v="14668"/>
    <x v="172"/>
    <n v="10"/>
    <x v="2"/>
    <x v="2"/>
    <s v="Bengaluru"/>
    <n v="39603.599999999999"/>
    <n v="9572.64"/>
    <x v="3"/>
    <x v="0"/>
  </r>
  <r>
    <n v="731"/>
    <s v="Isha"/>
    <x v="0"/>
    <x v="4"/>
    <x v="13"/>
    <n v="9"/>
    <n v="68941"/>
    <x v="404"/>
    <n v="15"/>
    <x v="2"/>
    <x v="2"/>
    <s v="Pune"/>
    <n v="527398.65"/>
    <n v="107592.74"/>
    <x v="0"/>
    <x v="0"/>
  </r>
  <r>
    <n v="732"/>
    <s v="Rohit"/>
    <x v="2"/>
    <x v="2"/>
    <x v="5"/>
    <n v="6"/>
    <n v="33521"/>
    <x v="101"/>
    <n v="5"/>
    <x v="2"/>
    <x v="0"/>
    <s v="Surat"/>
    <n v="191069.7"/>
    <n v="39980.620000000003"/>
    <x v="3"/>
    <x v="1"/>
  </r>
  <r>
    <n v="733"/>
    <s v="Riya"/>
    <x v="0"/>
    <x v="2"/>
    <x v="3"/>
    <n v="9"/>
    <n v="77908"/>
    <x v="28"/>
    <n v="20"/>
    <x v="5"/>
    <x v="0"/>
    <s v="Pune"/>
    <n v="560937.6"/>
    <n v="147978.99"/>
    <x v="2"/>
    <x v="2"/>
  </r>
  <r>
    <n v="734"/>
    <s v="Rohit"/>
    <x v="2"/>
    <x v="3"/>
    <x v="15"/>
    <n v="10"/>
    <n v="30954"/>
    <x v="44"/>
    <n v="5"/>
    <x v="0"/>
    <x v="3"/>
    <s v="Pune"/>
    <n v="294063"/>
    <n v="67755.56"/>
    <x v="0"/>
    <x v="0"/>
  </r>
  <r>
    <n v="735"/>
    <s v="Rahul"/>
    <x v="3"/>
    <x v="0"/>
    <x v="7"/>
    <n v="9"/>
    <n v="48048"/>
    <x v="425"/>
    <n v="5"/>
    <x v="1"/>
    <x v="1"/>
    <s v="Ahmedabad"/>
    <n v="410810.4"/>
    <n v="37813.93"/>
    <x v="3"/>
    <x v="1"/>
  </r>
  <r>
    <n v="736"/>
    <s v="Aman"/>
    <x v="3"/>
    <x v="1"/>
    <x v="1"/>
    <n v="6"/>
    <n v="75344"/>
    <x v="426"/>
    <n v="0"/>
    <x v="5"/>
    <x v="2"/>
    <s v="Pune"/>
    <n v="452064"/>
    <n v="70565.7"/>
    <x v="0"/>
    <x v="0"/>
  </r>
  <r>
    <n v="737"/>
    <s v="Anita"/>
    <x v="2"/>
    <x v="0"/>
    <x v="9"/>
    <n v="3"/>
    <n v="62516"/>
    <x v="6"/>
    <n v="10"/>
    <x v="0"/>
    <x v="1"/>
    <s v="Ahmedabad"/>
    <n v="168793.2"/>
    <n v="42404.04"/>
    <x v="0"/>
    <x v="2"/>
  </r>
  <r>
    <n v="738"/>
    <s v="Dev"/>
    <x v="3"/>
    <x v="3"/>
    <x v="8"/>
    <n v="4"/>
    <n v="32473"/>
    <x v="60"/>
    <n v="5"/>
    <x v="3"/>
    <x v="3"/>
    <s v="Delhi"/>
    <n v="123397.4"/>
    <n v="18856.05"/>
    <x v="2"/>
    <x v="0"/>
  </r>
  <r>
    <n v="739"/>
    <s v="Riya"/>
    <x v="0"/>
    <x v="4"/>
    <x v="13"/>
    <n v="10"/>
    <n v="52905"/>
    <x v="250"/>
    <n v="15"/>
    <x v="2"/>
    <x v="0"/>
    <s v="Pune"/>
    <n v="449692.5"/>
    <n v="115821.58"/>
    <x v="3"/>
    <x v="2"/>
  </r>
  <r>
    <n v="740"/>
    <s v="Isha"/>
    <x v="2"/>
    <x v="3"/>
    <x v="15"/>
    <n v="10"/>
    <n v="16254"/>
    <x v="76"/>
    <n v="5"/>
    <x v="4"/>
    <x v="0"/>
    <s v="Indore"/>
    <n v="154413"/>
    <n v="12620.74"/>
    <x v="0"/>
    <x v="1"/>
  </r>
  <r>
    <n v="741"/>
    <s v="Riya"/>
    <x v="3"/>
    <x v="4"/>
    <x v="10"/>
    <n v="9"/>
    <n v="74592"/>
    <x v="427"/>
    <n v="10"/>
    <x v="1"/>
    <x v="0"/>
    <s v="Mumbai"/>
    <n v="604195.19999999995"/>
    <n v="170759.99"/>
    <x v="3"/>
    <x v="2"/>
  </r>
  <r>
    <n v="742"/>
    <s v="Sneha"/>
    <x v="1"/>
    <x v="0"/>
    <x v="7"/>
    <n v="9"/>
    <n v="61598"/>
    <x v="2"/>
    <n v="10"/>
    <x v="4"/>
    <x v="3"/>
    <s v="Delhi"/>
    <n v="498943.8"/>
    <n v="111810.69"/>
    <x v="2"/>
    <x v="0"/>
  </r>
  <r>
    <n v="743"/>
    <s v="Vikas"/>
    <x v="2"/>
    <x v="2"/>
    <x v="6"/>
    <n v="5"/>
    <n v="9190"/>
    <x v="428"/>
    <n v="15"/>
    <x v="4"/>
    <x v="1"/>
    <s v="Jaipur"/>
    <n v="39057.5"/>
    <n v="11389.09"/>
    <x v="1"/>
    <x v="0"/>
  </r>
  <r>
    <n v="744"/>
    <s v="Vikas"/>
    <x v="2"/>
    <x v="0"/>
    <x v="7"/>
    <n v="7"/>
    <n v="32836"/>
    <x v="106"/>
    <n v="5"/>
    <x v="5"/>
    <x v="3"/>
    <s v="Ahmedabad"/>
    <n v="218359.4"/>
    <n v="65282.63"/>
    <x v="1"/>
    <x v="2"/>
  </r>
  <r>
    <n v="745"/>
    <s v="Karan"/>
    <x v="2"/>
    <x v="2"/>
    <x v="3"/>
    <n v="10"/>
    <n v="69163"/>
    <x v="429"/>
    <n v="5"/>
    <x v="2"/>
    <x v="2"/>
    <s v="Pune"/>
    <n v="657048.5"/>
    <n v="75844.13"/>
    <x v="3"/>
    <x v="1"/>
  </r>
  <r>
    <n v="746"/>
    <s v="Neha"/>
    <x v="1"/>
    <x v="0"/>
    <x v="7"/>
    <n v="2"/>
    <n v="27024"/>
    <x v="430"/>
    <n v="10"/>
    <x v="1"/>
    <x v="0"/>
    <s v="Delhi"/>
    <n v="48643.199999999997"/>
    <n v="8413.24"/>
    <x v="2"/>
    <x v="1"/>
  </r>
  <r>
    <n v="747"/>
    <s v="Vikas"/>
    <x v="0"/>
    <x v="0"/>
    <x v="2"/>
    <n v="8"/>
    <n v="55139"/>
    <x v="431"/>
    <n v="15"/>
    <x v="5"/>
    <x v="0"/>
    <s v="Pune"/>
    <n v="374945.2"/>
    <n v="106900.85"/>
    <x v="2"/>
    <x v="1"/>
  </r>
  <r>
    <n v="748"/>
    <s v="Anita"/>
    <x v="2"/>
    <x v="3"/>
    <x v="8"/>
    <n v="3"/>
    <n v="4672"/>
    <x v="432"/>
    <n v="20"/>
    <x v="3"/>
    <x v="3"/>
    <s v="Jaipur"/>
    <n v="11212.8"/>
    <n v="3068.36"/>
    <x v="0"/>
    <x v="1"/>
  </r>
  <r>
    <n v="749"/>
    <s v="Vikas"/>
    <x v="1"/>
    <x v="2"/>
    <x v="3"/>
    <n v="9"/>
    <n v="52430"/>
    <x v="196"/>
    <n v="15"/>
    <x v="0"/>
    <x v="3"/>
    <s v="Bengaluru"/>
    <n v="401089.5"/>
    <n v="80320.600000000006"/>
    <x v="1"/>
    <x v="0"/>
  </r>
  <r>
    <n v="750"/>
    <s v="Vikas"/>
    <x v="0"/>
    <x v="4"/>
    <x v="10"/>
    <n v="6"/>
    <n v="66903"/>
    <x v="433"/>
    <n v="10"/>
    <x v="0"/>
    <x v="2"/>
    <s v="Bengaluru"/>
    <n v="361276.2"/>
    <n v="45766.91"/>
    <x v="0"/>
    <x v="1"/>
  </r>
  <r>
    <n v="751"/>
    <s v="Rohit"/>
    <x v="0"/>
    <x v="1"/>
    <x v="14"/>
    <n v="4"/>
    <n v="14461"/>
    <x v="51"/>
    <n v="5"/>
    <x v="0"/>
    <x v="2"/>
    <s v="Delhi"/>
    <n v="54951.8"/>
    <n v="7974.44"/>
    <x v="2"/>
    <x v="0"/>
  </r>
  <r>
    <n v="752"/>
    <s v="Isha"/>
    <x v="2"/>
    <x v="3"/>
    <x v="15"/>
    <n v="9"/>
    <n v="67385"/>
    <x v="88"/>
    <n v="15"/>
    <x v="2"/>
    <x v="0"/>
    <s v="Ahmedabad"/>
    <n v="515495.25"/>
    <n v="121815.27"/>
    <x v="0"/>
    <x v="2"/>
  </r>
  <r>
    <n v="753"/>
    <s v="Pooja"/>
    <x v="0"/>
    <x v="4"/>
    <x v="13"/>
    <n v="9"/>
    <n v="3303"/>
    <x v="434"/>
    <n v="15"/>
    <x v="4"/>
    <x v="3"/>
    <s v="Delhi"/>
    <n v="25267.95"/>
    <n v="7125.67"/>
    <x v="2"/>
    <x v="0"/>
  </r>
  <r>
    <n v="754"/>
    <s v="Vikas"/>
    <x v="0"/>
    <x v="1"/>
    <x v="14"/>
    <n v="9"/>
    <n v="27312"/>
    <x v="435"/>
    <n v="10"/>
    <x v="2"/>
    <x v="1"/>
    <s v="Jaipur"/>
    <n v="221227.2"/>
    <n v="66174.28"/>
    <x v="3"/>
    <x v="0"/>
  </r>
  <r>
    <n v="755"/>
    <s v="Priya"/>
    <x v="1"/>
    <x v="3"/>
    <x v="12"/>
    <n v="2"/>
    <n v="13551"/>
    <x v="214"/>
    <n v="15"/>
    <x v="0"/>
    <x v="3"/>
    <s v="Surat"/>
    <n v="23036.7"/>
    <n v="3284.76"/>
    <x v="1"/>
    <x v="2"/>
  </r>
  <r>
    <n v="756"/>
    <s v="Sneha"/>
    <x v="2"/>
    <x v="0"/>
    <x v="2"/>
    <n v="7"/>
    <n v="40220"/>
    <x v="230"/>
    <n v="5"/>
    <x v="3"/>
    <x v="0"/>
    <s v="Surat"/>
    <n v="267463"/>
    <n v="46532.38"/>
    <x v="1"/>
    <x v="0"/>
  </r>
  <r>
    <n v="757"/>
    <s v="Vikas"/>
    <x v="3"/>
    <x v="0"/>
    <x v="2"/>
    <n v="7"/>
    <n v="22083"/>
    <x v="99"/>
    <n v="10"/>
    <x v="1"/>
    <x v="1"/>
    <s v="Jaipur"/>
    <n v="139122.9"/>
    <n v="26764.73"/>
    <x v="0"/>
    <x v="2"/>
  </r>
  <r>
    <n v="758"/>
    <s v="Arjun"/>
    <x v="3"/>
    <x v="2"/>
    <x v="3"/>
    <n v="5"/>
    <n v="74353"/>
    <x v="185"/>
    <n v="5"/>
    <x v="4"/>
    <x v="0"/>
    <s v="Indore"/>
    <n v="353176.75"/>
    <n v="95670.91"/>
    <x v="3"/>
    <x v="0"/>
  </r>
  <r>
    <n v="759"/>
    <s v="Karan"/>
    <x v="0"/>
    <x v="4"/>
    <x v="13"/>
    <n v="4"/>
    <n v="39373"/>
    <x v="380"/>
    <n v="5"/>
    <x v="4"/>
    <x v="2"/>
    <s v="Jaipur"/>
    <n v="149617.4"/>
    <n v="42454.080000000002"/>
    <x v="0"/>
    <x v="0"/>
  </r>
  <r>
    <n v="760"/>
    <s v="Isha"/>
    <x v="2"/>
    <x v="0"/>
    <x v="7"/>
    <n v="10"/>
    <n v="33058"/>
    <x v="20"/>
    <n v="10"/>
    <x v="4"/>
    <x v="1"/>
    <s v="Mumbai"/>
    <n v="297522"/>
    <n v="24724.33"/>
    <x v="1"/>
    <x v="1"/>
  </r>
  <r>
    <n v="761"/>
    <s v="Arjun"/>
    <x v="0"/>
    <x v="3"/>
    <x v="12"/>
    <n v="4"/>
    <n v="16586"/>
    <x v="436"/>
    <n v="20"/>
    <x v="3"/>
    <x v="1"/>
    <s v="Surat"/>
    <n v="53075.199999999997"/>
    <n v="13035.93"/>
    <x v="0"/>
    <x v="2"/>
  </r>
  <r>
    <n v="762"/>
    <s v="Priya"/>
    <x v="0"/>
    <x v="0"/>
    <x v="7"/>
    <n v="8"/>
    <n v="38252"/>
    <x v="193"/>
    <n v="20"/>
    <x v="5"/>
    <x v="0"/>
    <s v="Delhi"/>
    <n v="244812.79999999999"/>
    <n v="47386.98"/>
    <x v="1"/>
    <x v="0"/>
  </r>
  <r>
    <n v="763"/>
    <s v="Rohit"/>
    <x v="1"/>
    <x v="2"/>
    <x v="6"/>
    <n v="10"/>
    <n v="73910"/>
    <x v="437"/>
    <n v="5"/>
    <x v="0"/>
    <x v="0"/>
    <s v="Mumbai"/>
    <n v="702145"/>
    <n v="121442.86"/>
    <x v="1"/>
    <x v="0"/>
  </r>
  <r>
    <n v="764"/>
    <s v="Neha"/>
    <x v="2"/>
    <x v="0"/>
    <x v="7"/>
    <n v="5"/>
    <n v="23930"/>
    <x v="438"/>
    <n v="5"/>
    <x v="5"/>
    <x v="3"/>
    <s v="Mumbai"/>
    <n v="113667.5"/>
    <n v="24649.22"/>
    <x v="2"/>
    <x v="0"/>
  </r>
  <r>
    <n v="765"/>
    <s v="Riya"/>
    <x v="3"/>
    <x v="4"/>
    <x v="10"/>
    <n v="1"/>
    <n v="74867"/>
    <x v="439"/>
    <n v="15"/>
    <x v="5"/>
    <x v="3"/>
    <s v="Delhi"/>
    <n v="63636.95"/>
    <n v="9244.4"/>
    <x v="1"/>
    <x v="2"/>
  </r>
  <r>
    <n v="766"/>
    <s v="Aman"/>
    <x v="0"/>
    <x v="2"/>
    <x v="3"/>
    <n v="1"/>
    <n v="42857"/>
    <x v="440"/>
    <n v="10"/>
    <x v="3"/>
    <x v="1"/>
    <s v="Jaipur"/>
    <n v="38571.300000000003"/>
    <n v="9202.7999999999993"/>
    <x v="0"/>
    <x v="1"/>
  </r>
  <r>
    <n v="767"/>
    <s v="Karan"/>
    <x v="0"/>
    <x v="4"/>
    <x v="13"/>
    <n v="9"/>
    <n v="7215"/>
    <x v="20"/>
    <n v="15"/>
    <x v="0"/>
    <x v="3"/>
    <s v="Bengaluru"/>
    <n v="55194.75"/>
    <n v="9057.0300000000007"/>
    <x v="3"/>
    <x v="0"/>
  </r>
  <r>
    <n v="768"/>
    <s v="Rohit"/>
    <x v="1"/>
    <x v="4"/>
    <x v="13"/>
    <n v="3"/>
    <n v="47754"/>
    <x v="441"/>
    <n v="20"/>
    <x v="5"/>
    <x v="1"/>
    <s v="Pune"/>
    <n v="114609.60000000001"/>
    <n v="31662.959999999999"/>
    <x v="0"/>
    <x v="0"/>
  </r>
  <r>
    <n v="769"/>
    <s v="Meera"/>
    <x v="1"/>
    <x v="0"/>
    <x v="0"/>
    <n v="6"/>
    <n v="69468"/>
    <x v="368"/>
    <n v="5"/>
    <x v="3"/>
    <x v="2"/>
    <s v="Bengaluru"/>
    <n v="395967.6"/>
    <n v="80764.2"/>
    <x v="2"/>
    <x v="1"/>
  </r>
  <r>
    <n v="770"/>
    <s v="Meera"/>
    <x v="2"/>
    <x v="3"/>
    <x v="8"/>
    <n v="3"/>
    <n v="66491"/>
    <x v="442"/>
    <n v="5"/>
    <x v="4"/>
    <x v="2"/>
    <s v="Surat"/>
    <n v="189499.35"/>
    <n v="52882.35"/>
    <x v="1"/>
    <x v="2"/>
  </r>
  <r>
    <n v="771"/>
    <s v="Sneha"/>
    <x v="3"/>
    <x v="4"/>
    <x v="13"/>
    <n v="1"/>
    <n v="2486"/>
    <x v="443"/>
    <n v="15"/>
    <x v="2"/>
    <x v="2"/>
    <s v="Bengaluru"/>
    <n v="2113.1"/>
    <n v="276.93"/>
    <x v="3"/>
    <x v="2"/>
  </r>
  <r>
    <n v="772"/>
    <s v="Anita"/>
    <x v="2"/>
    <x v="0"/>
    <x v="2"/>
    <n v="8"/>
    <n v="30084"/>
    <x v="444"/>
    <n v="10"/>
    <x v="4"/>
    <x v="3"/>
    <s v="Mumbai"/>
    <n v="216604.79999999999"/>
    <n v="30057.360000000001"/>
    <x v="0"/>
    <x v="1"/>
  </r>
  <r>
    <n v="773"/>
    <s v="Isha"/>
    <x v="0"/>
    <x v="2"/>
    <x v="3"/>
    <n v="3"/>
    <n v="23327"/>
    <x v="445"/>
    <n v="0"/>
    <x v="1"/>
    <x v="2"/>
    <s v="Pune"/>
    <n v="69981"/>
    <n v="15889.31"/>
    <x v="3"/>
    <x v="2"/>
  </r>
  <r>
    <n v="774"/>
    <s v="Isha"/>
    <x v="0"/>
    <x v="2"/>
    <x v="3"/>
    <n v="10"/>
    <n v="28990"/>
    <x v="389"/>
    <n v="15"/>
    <x v="4"/>
    <x v="2"/>
    <s v="Delhi"/>
    <n v="246415"/>
    <n v="64643.98"/>
    <x v="1"/>
    <x v="0"/>
  </r>
  <r>
    <n v="775"/>
    <s v="Vikas"/>
    <x v="1"/>
    <x v="2"/>
    <x v="6"/>
    <n v="5"/>
    <n v="44677"/>
    <x v="371"/>
    <n v="20"/>
    <x v="1"/>
    <x v="0"/>
    <s v="Jaipur"/>
    <n v="178708"/>
    <n v="23595.279999999999"/>
    <x v="2"/>
    <x v="0"/>
  </r>
  <r>
    <n v="776"/>
    <s v="Rahul"/>
    <x v="3"/>
    <x v="3"/>
    <x v="15"/>
    <n v="5"/>
    <n v="15588"/>
    <x v="77"/>
    <n v="10"/>
    <x v="3"/>
    <x v="1"/>
    <s v="Mumbai"/>
    <n v="70146"/>
    <n v="15106.83"/>
    <x v="2"/>
    <x v="1"/>
  </r>
  <r>
    <n v="777"/>
    <s v="Sneha"/>
    <x v="2"/>
    <x v="0"/>
    <x v="0"/>
    <n v="9"/>
    <n v="38243"/>
    <x v="446"/>
    <n v="0"/>
    <x v="1"/>
    <x v="3"/>
    <s v="Pune"/>
    <n v="344187"/>
    <n v="64817.17"/>
    <x v="2"/>
    <x v="1"/>
  </r>
  <r>
    <n v="778"/>
    <s v="Arjun"/>
    <x v="3"/>
    <x v="4"/>
    <x v="13"/>
    <n v="4"/>
    <n v="66255"/>
    <x v="447"/>
    <n v="0"/>
    <x v="4"/>
    <x v="2"/>
    <s v="Delhi"/>
    <n v="265020"/>
    <n v="30359.87"/>
    <x v="0"/>
    <x v="2"/>
  </r>
  <r>
    <n v="779"/>
    <s v="Vikas"/>
    <x v="0"/>
    <x v="2"/>
    <x v="3"/>
    <n v="9"/>
    <n v="5123"/>
    <x v="448"/>
    <n v="20"/>
    <x v="4"/>
    <x v="2"/>
    <s v="Delhi"/>
    <n v="36885.599999999999"/>
    <n v="10320.14"/>
    <x v="2"/>
    <x v="0"/>
  </r>
  <r>
    <n v="780"/>
    <s v="Karan"/>
    <x v="3"/>
    <x v="3"/>
    <x v="12"/>
    <n v="4"/>
    <n v="48962"/>
    <x v="160"/>
    <n v="20"/>
    <x v="3"/>
    <x v="3"/>
    <s v="Bengaluru"/>
    <n v="156678.39999999999"/>
    <n v="26032.14"/>
    <x v="2"/>
    <x v="0"/>
  </r>
  <r>
    <n v="781"/>
    <s v="Isha"/>
    <x v="0"/>
    <x v="2"/>
    <x v="5"/>
    <n v="8"/>
    <n v="63926"/>
    <x v="449"/>
    <n v="5"/>
    <x v="5"/>
    <x v="2"/>
    <s v="Delhi"/>
    <n v="485837.6"/>
    <n v="50366.21"/>
    <x v="2"/>
    <x v="0"/>
  </r>
  <r>
    <n v="782"/>
    <s v="Rahul"/>
    <x v="3"/>
    <x v="1"/>
    <x v="14"/>
    <n v="1"/>
    <n v="56089"/>
    <x v="295"/>
    <n v="20"/>
    <x v="5"/>
    <x v="2"/>
    <s v="Pune"/>
    <n v="44871.199999999997"/>
    <n v="12727.85"/>
    <x v="0"/>
    <x v="0"/>
  </r>
  <r>
    <n v="783"/>
    <s v="Meera"/>
    <x v="1"/>
    <x v="4"/>
    <x v="13"/>
    <n v="10"/>
    <n v="12276"/>
    <x v="217"/>
    <n v="15"/>
    <x v="2"/>
    <x v="1"/>
    <s v="Delhi"/>
    <n v="104346"/>
    <n v="14146.78"/>
    <x v="0"/>
    <x v="1"/>
  </r>
  <r>
    <n v="784"/>
    <s v="Neha"/>
    <x v="0"/>
    <x v="4"/>
    <x v="11"/>
    <n v="7"/>
    <n v="36734"/>
    <x v="450"/>
    <n v="5"/>
    <x v="5"/>
    <x v="1"/>
    <s v="Delhi"/>
    <n v="244281.1"/>
    <n v="47942.95"/>
    <x v="3"/>
    <x v="1"/>
  </r>
  <r>
    <n v="785"/>
    <s v="Aman"/>
    <x v="1"/>
    <x v="0"/>
    <x v="2"/>
    <n v="10"/>
    <n v="16154"/>
    <x v="451"/>
    <n v="0"/>
    <x v="2"/>
    <x v="1"/>
    <s v="Surat"/>
    <n v="161540"/>
    <n v="26488.09"/>
    <x v="2"/>
    <x v="2"/>
  </r>
  <r>
    <n v="786"/>
    <s v="Meera"/>
    <x v="1"/>
    <x v="1"/>
    <x v="4"/>
    <n v="5"/>
    <n v="66943"/>
    <x v="192"/>
    <n v="15"/>
    <x v="3"/>
    <x v="1"/>
    <s v="Mumbai"/>
    <n v="284507.75"/>
    <n v="45395.45"/>
    <x v="0"/>
    <x v="0"/>
  </r>
  <r>
    <n v="787"/>
    <s v="Sneha"/>
    <x v="1"/>
    <x v="1"/>
    <x v="1"/>
    <n v="2"/>
    <n v="53874"/>
    <x v="4"/>
    <n v="15"/>
    <x v="2"/>
    <x v="3"/>
    <s v="Surat"/>
    <n v="91585.8"/>
    <n v="14119.93"/>
    <x v="3"/>
    <x v="1"/>
  </r>
  <r>
    <n v="788"/>
    <s v="Rohit"/>
    <x v="0"/>
    <x v="4"/>
    <x v="11"/>
    <n v="4"/>
    <n v="63634"/>
    <x v="97"/>
    <n v="0"/>
    <x v="1"/>
    <x v="1"/>
    <s v="Delhi"/>
    <n v="254536"/>
    <n v="28067.8"/>
    <x v="3"/>
    <x v="0"/>
  </r>
  <r>
    <n v="789"/>
    <s v="Riya"/>
    <x v="2"/>
    <x v="0"/>
    <x v="2"/>
    <n v="8"/>
    <n v="19123"/>
    <x v="452"/>
    <n v="0"/>
    <x v="1"/>
    <x v="0"/>
    <s v="Delhi"/>
    <n v="152984"/>
    <n v="29604.27"/>
    <x v="1"/>
    <x v="2"/>
  </r>
  <r>
    <n v="790"/>
    <s v="Aman"/>
    <x v="0"/>
    <x v="1"/>
    <x v="1"/>
    <n v="3"/>
    <n v="72747"/>
    <x v="85"/>
    <n v="20"/>
    <x v="4"/>
    <x v="1"/>
    <s v="Ahmedabad"/>
    <n v="174592.8"/>
    <n v="20121.22"/>
    <x v="1"/>
    <x v="2"/>
  </r>
  <r>
    <n v="791"/>
    <s v="Meera"/>
    <x v="1"/>
    <x v="2"/>
    <x v="3"/>
    <n v="10"/>
    <n v="55625"/>
    <x v="205"/>
    <n v="10"/>
    <x v="2"/>
    <x v="2"/>
    <s v="Jaipur"/>
    <n v="500625"/>
    <n v="81057.3"/>
    <x v="1"/>
    <x v="1"/>
  </r>
  <r>
    <n v="792"/>
    <s v="Karan"/>
    <x v="0"/>
    <x v="2"/>
    <x v="5"/>
    <n v="5"/>
    <n v="47913"/>
    <x v="158"/>
    <n v="0"/>
    <x v="4"/>
    <x v="2"/>
    <s v="Surat"/>
    <n v="239565"/>
    <n v="61829.87"/>
    <x v="3"/>
    <x v="2"/>
  </r>
  <r>
    <n v="793"/>
    <s v="Dev"/>
    <x v="1"/>
    <x v="0"/>
    <x v="2"/>
    <n v="3"/>
    <n v="72734"/>
    <x v="265"/>
    <n v="10"/>
    <x v="4"/>
    <x v="0"/>
    <s v="Pune"/>
    <n v="196381.8"/>
    <n v="57913.98"/>
    <x v="1"/>
    <x v="2"/>
  </r>
  <r>
    <n v="794"/>
    <s v="Anita"/>
    <x v="0"/>
    <x v="3"/>
    <x v="15"/>
    <n v="10"/>
    <n v="42424"/>
    <x v="453"/>
    <n v="15"/>
    <x v="5"/>
    <x v="3"/>
    <s v="Surat"/>
    <n v="360604"/>
    <n v="41722.61"/>
    <x v="2"/>
    <x v="1"/>
  </r>
  <r>
    <n v="795"/>
    <s v="Rohit"/>
    <x v="3"/>
    <x v="4"/>
    <x v="10"/>
    <n v="4"/>
    <n v="47015"/>
    <x v="454"/>
    <n v="0"/>
    <x v="3"/>
    <x v="2"/>
    <s v="Ahmedabad"/>
    <n v="188060"/>
    <n v="41959.07"/>
    <x v="0"/>
    <x v="0"/>
  </r>
  <r>
    <n v="796"/>
    <s v="Aman"/>
    <x v="2"/>
    <x v="0"/>
    <x v="0"/>
    <n v="3"/>
    <n v="16301"/>
    <x v="243"/>
    <n v="10"/>
    <x v="4"/>
    <x v="3"/>
    <s v="Ahmedabad"/>
    <n v="44012.7"/>
    <n v="5887.36"/>
    <x v="0"/>
    <x v="0"/>
  </r>
  <r>
    <n v="797"/>
    <s v="Dev"/>
    <x v="2"/>
    <x v="4"/>
    <x v="11"/>
    <n v="5"/>
    <n v="20292"/>
    <x v="455"/>
    <n v="10"/>
    <x v="5"/>
    <x v="1"/>
    <s v="Delhi"/>
    <n v="91314"/>
    <n v="22456.01"/>
    <x v="2"/>
    <x v="0"/>
  </r>
  <r>
    <n v="798"/>
    <s v="Isha"/>
    <x v="1"/>
    <x v="3"/>
    <x v="12"/>
    <n v="2"/>
    <n v="18625"/>
    <x v="456"/>
    <n v="20"/>
    <x v="1"/>
    <x v="1"/>
    <s v="Indore"/>
    <n v="29800"/>
    <n v="3289.12"/>
    <x v="0"/>
    <x v="1"/>
  </r>
  <r>
    <n v="799"/>
    <s v="Meera"/>
    <x v="0"/>
    <x v="2"/>
    <x v="6"/>
    <n v="7"/>
    <n v="33844"/>
    <x v="323"/>
    <n v="20"/>
    <x v="2"/>
    <x v="2"/>
    <s v="Surat"/>
    <n v="189526.39999999999"/>
    <n v="47762.45"/>
    <x v="3"/>
    <x v="0"/>
  </r>
  <r>
    <n v="800"/>
    <s v="Pooja"/>
    <x v="1"/>
    <x v="1"/>
    <x v="1"/>
    <n v="3"/>
    <n v="75424"/>
    <x v="457"/>
    <n v="20"/>
    <x v="0"/>
    <x v="2"/>
    <s v="Pune"/>
    <n v="181017.60000000001"/>
    <n v="40865.79"/>
    <x v="2"/>
    <x v="2"/>
  </r>
  <r>
    <n v="801"/>
    <s v="Vikas"/>
    <x v="3"/>
    <x v="3"/>
    <x v="12"/>
    <n v="4"/>
    <n v="56957"/>
    <x v="39"/>
    <n v="10"/>
    <x v="5"/>
    <x v="2"/>
    <s v="Mumbai"/>
    <n v="205045.2"/>
    <n v="50115.75"/>
    <x v="0"/>
    <x v="1"/>
  </r>
  <r>
    <n v="802"/>
    <s v="Vikas"/>
    <x v="1"/>
    <x v="3"/>
    <x v="12"/>
    <n v="1"/>
    <n v="31935"/>
    <x v="379"/>
    <n v="5"/>
    <x v="2"/>
    <x v="3"/>
    <s v="Surat"/>
    <n v="30338.25"/>
    <n v="7203.33"/>
    <x v="2"/>
    <x v="2"/>
  </r>
  <r>
    <n v="803"/>
    <s v="Arjun"/>
    <x v="2"/>
    <x v="0"/>
    <x v="0"/>
    <n v="9"/>
    <n v="49866"/>
    <x v="254"/>
    <n v="20"/>
    <x v="1"/>
    <x v="1"/>
    <s v="Ahmedabad"/>
    <n v="359035.2"/>
    <n v="78298.02"/>
    <x v="2"/>
    <x v="1"/>
  </r>
  <r>
    <n v="804"/>
    <s v="Sneha"/>
    <x v="1"/>
    <x v="1"/>
    <x v="1"/>
    <n v="2"/>
    <n v="9777"/>
    <x v="347"/>
    <n v="15"/>
    <x v="3"/>
    <x v="1"/>
    <s v="Indore"/>
    <n v="16620.900000000001"/>
    <n v="2121.91"/>
    <x v="1"/>
    <x v="2"/>
  </r>
  <r>
    <n v="805"/>
    <s v="Neha"/>
    <x v="1"/>
    <x v="2"/>
    <x v="6"/>
    <n v="3"/>
    <n v="42940"/>
    <x v="239"/>
    <n v="10"/>
    <x v="0"/>
    <x v="0"/>
    <s v="Surat"/>
    <n v="115938"/>
    <n v="24096.71"/>
    <x v="3"/>
    <x v="0"/>
  </r>
  <r>
    <n v="806"/>
    <s v="Pooja"/>
    <x v="0"/>
    <x v="2"/>
    <x v="3"/>
    <n v="3"/>
    <n v="26977"/>
    <x v="112"/>
    <n v="15"/>
    <x v="4"/>
    <x v="0"/>
    <s v="Mumbai"/>
    <n v="68791.350000000006"/>
    <n v="18118.32"/>
    <x v="1"/>
    <x v="2"/>
  </r>
  <r>
    <n v="807"/>
    <s v="Aman"/>
    <x v="0"/>
    <x v="4"/>
    <x v="10"/>
    <n v="10"/>
    <n v="8505"/>
    <x v="251"/>
    <n v="0"/>
    <x v="1"/>
    <x v="3"/>
    <s v="Mumbai"/>
    <n v="85050"/>
    <n v="8555.2999999999993"/>
    <x v="0"/>
    <x v="0"/>
  </r>
  <r>
    <n v="808"/>
    <s v="Sneha"/>
    <x v="1"/>
    <x v="4"/>
    <x v="13"/>
    <n v="1"/>
    <n v="70914"/>
    <x v="458"/>
    <n v="5"/>
    <x v="5"/>
    <x v="2"/>
    <s v="Delhi"/>
    <n v="67368.3"/>
    <n v="14283.97"/>
    <x v="0"/>
    <x v="1"/>
  </r>
  <r>
    <n v="809"/>
    <s v="Sneha"/>
    <x v="1"/>
    <x v="0"/>
    <x v="7"/>
    <n v="7"/>
    <n v="23802"/>
    <x v="370"/>
    <n v="10"/>
    <x v="3"/>
    <x v="3"/>
    <s v="Bengaluru"/>
    <n v="149952.6"/>
    <n v="26598.080000000002"/>
    <x v="1"/>
    <x v="2"/>
  </r>
  <r>
    <n v="810"/>
    <s v="Sneha"/>
    <x v="0"/>
    <x v="3"/>
    <x v="15"/>
    <n v="7"/>
    <n v="23331"/>
    <x v="459"/>
    <n v="5"/>
    <x v="0"/>
    <x v="0"/>
    <s v="Delhi"/>
    <n v="155151.15"/>
    <n v="12909.81"/>
    <x v="3"/>
    <x v="2"/>
  </r>
  <r>
    <n v="811"/>
    <s v="Arjun"/>
    <x v="2"/>
    <x v="1"/>
    <x v="1"/>
    <n v="1"/>
    <n v="63252"/>
    <x v="460"/>
    <n v="0"/>
    <x v="4"/>
    <x v="0"/>
    <s v="Delhi"/>
    <n v="63252"/>
    <n v="15221.84"/>
    <x v="3"/>
    <x v="1"/>
  </r>
  <r>
    <n v="812"/>
    <s v="Dev"/>
    <x v="3"/>
    <x v="2"/>
    <x v="3"/>
    <n v="10"/>
    <n v="51156"/>
    <x v="461"/>
    <n v="15"/>
    <x v="1"/>
    <x v="3"/>
    <s v="Mumbai"/>
    <n v="434826"/>
    <n v="87687.78"/>
    <x v="1"/>
    <x v="1"/>
  </r>
  <r>
    <n v="813"/>
    <s v="Pooja"/>
    <x v="0"/>
    <x v="1"/>
    <x v="14"/>
    <n v="5"/>
    <n v="38674"/>
    <x v="462"/>
    <n v="5"/>
    <x v="1"/>
    <x v="1"/>
    <s v="Surat"/>
    <n v="183701.5"/>
    <n v="29127.65"/>
    <x v="0"/>
    <x v="1"/>
  </r>
  <r>
    <n v="814"/>
    <s v="Neha"/>
    <x v="0"/>
    <x v="0"/>
    <x v="7"/>
    <n v="8"/>
    <n v="41001"/>
    <x v="463"/>
    <n v="5"/>
    <x v="5"/>
    <x v="1"/>
    <s v="Bengaluru"/>
    <n v="311607.59999999998"/>
    <n v="38223.26"/>
    <x v="1"/>
    <x v="2"/>
  </r>
  <r>
    <n v="815"/>
    <s v="Vikas"/>
    <x v="2"/>
    <x v="4"/>
    <x v="10"/>
    <n v="8"/>
    <n v="61326"/>
    <x v="449"/>
    <n v="0"/>
    <x v="5"/>
    <x v="2"/>
    <s v="Bengaluru"/>
    <n v="490608"/>
    <n v="46225.27"/>
    <x v="3"/>
    <x v="2"/>
  </r>
  <r>
    <n v="816"/>
    <s v="Dev"/>
    <x v="2"/>
    <x v="0"/>
    <x v="9"/>
    <n v="6"/>
    <n v="44612"/>
    <x v="51"/>
    <n v="15"/>
    <x v="3"/>
    <x v="3"/>
    <s v="Bengaluru"/>
    <n v="227521.2"/>
    <n v="38129.57"/>
    <x v="2"/>
    <x v="2"/>
  </r>
  <r>
    <n v="817"/>
    <s v="Riya"/>
    <x v="0"/>
    <x v="2"/>
    <x v="5"/>
    <n v="3"/>
    <n v="60926"/>
    <x v="464"/>
    <n v="15"/>
    <x v="4"/>
    <x v="0"/>
    <s v="Ahmedabad"/>
    <n v="155361.29999999999"/>
    <n v="23830.49"/>
    <x v="3"/>
    <x v="0"/>
  </r>
  <r>
    <n v="818"/>
    <s v="Neha"/>
    <x v="3"/>
    <x v="4"/>
    <x v="13"/>
    <n v="6"/>
    <n v="69935"/>
    <x v="240"/>
    <n v="0"/>
    <x v="5"/>
    <x v="1"/>
    <s v="Indore"/>
    <n v="419610"/>
    <n v="92516.64"/>
    <x v="3"/>
    <x v="2"/>
  </r>
  <r>
    <n v="819"/>
    <s v="Vikas"/>
    <x v="1"/>
    <x v="4"/>
    <x v="11"/>
    <n v="3"/>
    <n v="66796"/>
    <x v="465"/>
    <n v="15"/>
    <x v="2"/>
    <x v="1"/>
    <s v="Bengaluru"/>
    <n v="170329.8"/>
    <n v="20546.23"/>
    <x v="2"/>
    <x v="1"/>
  </r>
  <r>
    <n v="820"/>
    <s v="Pooja"/>
    <x v="2"/>
    <x v="4"/>
    <x v="13"/>
    <n v="8"/>
    <n v="6169"/>
    <x v="210"/>
    <n v="15"/>
    <x v="0"/>
    <x v="0"/>
    <s v="Indore"/>
    <n v="41949.2"/>
    <n v="9299.86"/>
    <x v="2"/>
    <x v="1"/>
  </r>
  <r>
    <n v="821"/>
    <s v="Karan"/>
    <x v="0"/>
    <x v="2"/>
    <x v="3"/>
    <n v="5"/>
    <n v="71647"/>
    <x v="466"/>
    <n v="10"/>
    <x v="0"/>
    <x v="2"/>
    <s v="Ahmedabad"/>
    <n v="322411.5"/>
    <n v="74939.72"/>
    <x v="2"/>
    <x v="0"/>
  </r>
  <r>
    <n v="822"/>
    <s v="Isha"/>
    <x v="2"/>
    <x v="2"/>
    <x v="6"/>
    <n v="8"/>
    <n v="45185"/>
    <x v="389"/>
    <n v="5"/>
    <x v="2"/>
    <x v="2"/>
    <s v="Ahmedabad"/>
    <n v="343406"/>
    <n v="36382.15"/>
    <x v="0"/>
    <x v="0"/>
  </r>
  <r>
    <n v="823"/>
    <s v="Meera"/>
    <x v="2"/>
    <x v="4"/>
    <x v="10"/>
    <n v="7"/>
    <n v="14855"/>
    <x v="233"/>
    <n v="10"/>
    <x v="1"/>
    <x v="0"/>
    <s v="Delhi"/>
    <n v="93586.5"/>
    <n v="26223.78"/>
    <x v="3"/>
    <x v="0"/>
  </r>
  <r>
    <n v="824"/>
    <s v="Rahul"/>
    <x v="3"/>
    <x v="1"/>
    <x v="1"/>
    <n v="4"/>
    <n v="50212"/>
    <x v="467"/>
    <n v="20"/>
    <x v="2"/>
    <x v="2"/>
    <s v="Bengaluru"/>
    <n v="160678.39999999999"/>
    <n v="15208.01"/>
    <x v="3"/>
    <x v="1"/>
  </r>
  <r>
    <n v="825"/>
    <s v="Dev"/>
    <x v="2"/>
    <x v="4"/>
    <x v="10"/>
    <n v="4"/>
    <n v="71843"/>
    <x v="468"/>
    <n v="10"/>
    <x v="4"/>
    <x v="3"/>
    <s v="Mumbai"/>
    <n v="258634.8"/>
    <n v="63899.15"/>
    <x v="3"/>
    <x v="1"/>
  </r>
  <r>
    <n v="826"/>
    <s v="Rohit"/>
    <x v="3"/>
    <x v="0"/>
    <x v="9"/>
    <n v="2"/>
    <n v="17703"/>
    <x v="375"/>
    <n v="0"/>
    <x v="1"/>
    <x v="2"/>
    <s v="Delhi"/>
    <n v="35406"/>
    <n v="8244.9500000000007"/>
    <x v="1"/>
    <x v="1"/>
  </r>
  <r>
    <n v="827"/>
    <s v="Arjun"/>
    <x v="1"/>
    <x v="1"/>
    <x v="1"/>
    <n v="3"/>
    <n v="59882"/>
    <x v="115"/>
    <n v="5"/>
    <x v="2"/>
    <x v="1"/>
    <s v="Surat"/>
    <n v="170663.7"/>
    <n v="14435.51"/>
    <x v="1"/>
    <x v="2"/>
  </r>
  <r>
    <n v="828"/>
    <s v="Priya"/>
    <x v="0"/>
    <x v="4"/>
    <x v="10"/>
    <n v="10"/>
    <n v="47657"/>
    <x v="469"/>
    <n v="5"/>
    <x v="1"/>
    <x v="2"/>
    <s v="Mumbai"/>
    <n v="452741.5"/>
    <n v="109755.44"/>
    <x v="0"/>
    <x v="0"/>
  </r>
  <r>
    <n v="829"/>
    <s v="Anita"/>
    <x v="0"/>
    <x v="2"/>
    <x v="3"/>
    <n v="8"/>
    <n v="2098"/>
    <x v="470"/>
    <n v="10"/>
    <x v="3"/>
    <x v="2"/>
    <s v="Mumbai"/>
    <n v="15105.6"/>
    <n v="1531.19"/>
    <x v="0"/>
    <x v="2"/>
  </r>
  <r>
    <n v="830"/>
    <s v="Sneha"/>
    <x v="0"/>
    <x v="0"/>
    <x v="2"/>
    <n v="2"/>
    <n v="36492"/>
    <x v="400"/>
    <n v="20"/>
    <x v="4"/>
    <x v="1"/>
    <s v="Delhi"/>
    <n v="58387.199999999997"/>
    <n v="8340.74"/>
    <x v="3"/>
    <x v="0"/>
  </r>
  <r>
    <n v="831"/>
    <s v="Isha"/>
    <x v="1"/>
    <x v="4"/>
    <x v="13"/>
    <n v="1"/>
    <n v="9257"/>
    <x v="290"/>
    <n v="15"/>
    <x v="3"/>
    <x v="2"/>
    <s v="Bengaluru"/>
    <n v="7868.45"/>
    <n v="1373.3"/>
    <x v="3"/>
    <x v="0"/>
  </r>
  <r>
    <n v="832"/>
    <s v="Meera"/>
    <x v="0"/>
    <x v="2"/>
    <x v="6"/>
    <n v="5"/>
    <n v="74637"/>
    <x v="258"/>
    <n v="10"/>
    <x v="4"/>
    <x v="2"/>
    <s v="Pune"/>
    <n v="335866.5"/>
    <n v="84592.08"/>
    <x v="0"/>
    <x v="2"/>
  </r>
  <r>
    <n v="833"/>
    <s v="Meera"/>
    <x v="2"/>
    <x v="0"/>
    <x v="7"/>
    <n v="7"/>
    <n v="25121"/>
    <x v="471"/>
    <n v="20"/>
    <x v="3"/>
    <x v="1"/>
    <s v="Pune"/>
    <n v="140677.6"/>
    <n v="28214.68"/>
    <x v="2"/>
    <x v="2"/>
  </r>
  <r>
    <n v="834"/>
    <s v="Pooja"/>
    <x v="1"/>
    <x v="1"/>
    <x v="1"/>
    <n v="1"/>
    <n v="32529"/>
    <x v="472"/>
    <n v="10"/>
    <x v="5"/>
    <x v="2"/>
    <s v="Indore"/>
    <n v="29276.1"/>
    <n v="3734.62"/>
    <x v="1"/>
    <x v="0"/>
  </r>
  <r>
    <n v="835"/>
    <s v="Riya"/>
    <x v="2"/>
    <x v="0"/>
    <x v="9"/>
    <n v="1"/>
    <n v="74962"/>
    <x v="112"/>
    <n v="20"/>
    <x v="2"/>
    <x v="0"/>
    <s v="Mumbai"/>
    <n v="59969.599999999999"/>
    <n v="16880.36"/>
    <x v="1"/>
    <x v="0"/>
  </r>
  <r>
    <n v="836"/>
    <s v="Rohit"/>
    <x v="3"/>
    <x v="3"/>
    <x v="12"/>
    <n v="10"/>
    <n v="51707"/>
    <x v="165"/>
    <n v="20"/>
    <x v="3"/>
    <x v="0"/>
    <s v="Ahmedabad"/>
    <n v="413656"/>
    <n v="52504.79"/>
    <x v="1"/>
    <x v="2"/>
  </r>
  <r>
    <n v="837"/>
    <s v="Dev"/>
    <x v="2"/>
    <x v="0"/>
    <x v="7"/>
    <n v="9"/>
    <n v="9570"/>
    <x v="160"/>
    <n v="10"/>
    <x v="5"/>
    <x v="0"/>
    <s v="Indore"/>
    <n v="77517"/>
    <n v="8935.16"/>
    <x v="2"/>
    <x v="2"/>
  </r>
  <r>
    <n v="838"/>
    <s v="Vikas"/>
    <x v="0"/>
    <x v="3"/>
    <x v="8"/>
    <n v="10"/>
    <n v="58495"/>
    <x v="382"/>
    <n v="5"/>
    <x v="4"/>
    <x v="1"/>
    <s v="Bengaluru"/>
    <n v="555702.5"/>
    <n v="88000.65"/>
    <x v="1"/>
    <x v="1"/>
  </r>
  <r>
    <n v="839"/>
    <s v="Karan"/>
    <x v="3"/>
    <x v="0"/>
    <x v="7"/>
    <n v="1"/>
    <n v="6643"/>
    <x v="278"/>
    <n v="20"/>
    <x v="5"/>
    <x v="3"/>
    <s v="Ahmedabad"/>
    <n v="5314.4"/>
    <n v="1031.57"/>
    <x v="3"/>
    <x v="2"/>
  </r>
  <r>
    <n v="840"/>
    <s v="Anita"/>
    <x v="2"/>
    <x v="1"/>
    <x v="4"/>
    <n v="4"/>
    <n v="2255"/>
    <x v="473"/>
    <n v="0"/>
    <x v="3"/>
    <x v="1"/>
    <s v="Jaipur"/>
    <n v="9020"/>
    <n v="1216.8900000000001"/>
    <x v="3"/>
    <x v="0"/>
  </r>
  <r>
    <n v="841"/>
    <s v="Sneha"/>
    <x v="3"/>
    <x v="2"/>
    <x v="5"/>
    <n v="6"/>
    <n v="58449"/>
    <x v="12"/>
    <n v="10"/>
    <x v="0"/>
    <x v="3"/>
    <s v="Delhi"/>
    <n v="315624.59999999998"/>
    <n v="47880.74"/>
    <x v="0"/>
    <x v="0"/>
  </r>
  <r>
    <n v="842"/>
    <s v="Anita"/>
    <x v="3"/>
    <x v="4"/>
    <x v="11"/>
    <n v="10"/>
    <n v="13994"/>
    <x v="474"/>
    <n v="15"/>
    <x v="5"/>
    <x v="1"/>
    <s v="Ahmedabad"/>
    <n v="118949"/>
    <n v="23040.32"/>
    <x v="0"/>
    <x v="2"/>
  </r>
  <r>
    <n v="843"/>
    <s v="Dev"/>
    <x v="0"/>
    <x v="1"/>
    <x v="14"/>
    <n v="1"/>
    <n v="8027"/>
    <x v="443"/>
    <n v="20"/>
    <x v="0"/>
    <x v="3"/>
    <s v="Ahmedabad"/>
    <n v="6421.6"/>
    <n v="934.07"/>
    <x v="0"/>
    <x v="1"/>
  </r>
  <r>
    <n v="844"/>
    <s v="Isha"/>
    <x v="2"/>
    <x v="2"/>
    <x v="5"/>
    <n v="10"/>
    <n v="9726"/>
    <x v="311"/>
    <n v="10"/>
    <x v="2"/>
    <x v="1"/>
    <s v="Mumbai"/>
    <n v="87534"/>
    <n v="22681.91"/>
    <x v="2"/>
    <x v="2"/>
  </r>
  <r>
    <n v="845"/>
    <s v="Neha"/>
    <x v="0"/>
    <x v="2"/>
    <x v="3"/>
    <n v="4"/>
    <n v="1998"/>
    <x v="154"/>
    <n v="10"/>
    <x v="2"/>
    <x v="0"/>
    <s v="Jaipur"/>
    <n v="7192.8"/>
    <n v="1133.3"/>
    <x v="3"/>
    <x v="0"/>
  </r>
  <r>
    <n v="846"/>
    <s v="Meera"/>
    <x v="2"/>
    <x v="0"/>
    <x v="2"/>
    <n v="1"/>
    <n v="75453"/>
    <x v="475"/>
    <n v="15"/>
    <x v="1"/>
    <x v="1"/>
    <s v="Surat"/>
    <n v="64135.05"/>
    <n v="9968.25"/>
    <x v="2"/>
    <x v="2"/>
  </r>
  <r>
    <n v="847"/>
    <s v="Sneha"/>
    <x v="0"/>
    <x v="4"/>
    <x v="11"/>
    <n v="10"/>
    <n v="67082"/>
    <x v="331"/>
    <n v="5"/>
    <x v="2"/>
    <x v="0"/>
    <s v="Pune"/>
    <n v="637279"/>
    <n v="57840.93"/>
    <x v="2"/>
    <x v="1"/>
  </r>
  <r>
    <n v="848"/>
    <s v="Karan"/>
    <x v="2"/>
    <x v="2"/>
    <x v="3"/>
    <n v="3"/>
    <n v="46655"/>
    <x v="12"/>
    <n v="15"/>
    <x v="4"/>
    <x v="2"/>
    <s v="Ahmedabad"/>
    <n v="118970.25"/>
    <n v="34368.07"/>
    <x v="2"/>
    <x v="2"/>
  </r>
  <r>
    <n v="849"/>
    <s v="Karan"/>
    <x v="3"/>
    <x v="1"/>
    <x v="1"/>
    <n v="4"/>
    <n v="23750"/>
    <x v="476"/>
    <n v="15"/>
    <x v="3"/>
    <x v="3"/>
    <s v="Indore"/>
    <n v="80750"/>
    <n v="6984.26"/>
    <x v="2"/>
    <x v="2"/>
  </r>
  <r>
    <n v="850"/>
    <s v="Anita"/>
    <x v="3"/>
    <x v="4"/>
    <x v="11"/>
    <n v="6"/>
    <n v="45136"/>
    <x v="459"/>
    <n v="0"/>
    <x v="5"/>
    <x v="0"/>
    <s v="Indore"/>
    <n v="270816"/>
    <n v="59186.34"/>
    <x v="0"/>
    <x v="1"/>
  </r>
  <r>
    <n v="851"/>
    <s v="Sneha"/>
    <x v="2"/>
    <x v="0"/>
    <x v="9"/>
    <n v="9"/>
    <n v="74210"/>
    <x v="477"/>
    <n v="0"/>
    <x v="5"/>
    <x v="2"/>
    <s v="Ahmedabad"/>
    <n v="667890"/>
    <n v="170043.47"/>
    <x v="1"/>
    <x v="1"/>
  </r>
  <r>
    <n v="852"/>
    <s v="Karan"/>
    <x v="3"/>
    <x v="2"/>
    <x v="6"/>
    <n v="6"/>
    <n v="39793"/>
    <x v="108"/>
    <n v="0"/>
    <x v="2"/>
    <x v="2"/>
    <s v="Jaipur"/>
    <n v="238758"/>
    <n v="33130.71"/>
    <x v="2"/>
    <x v="0"/>
  </r>
  <r>
    <n v="853"/>
    <s v="Riya"/>
    <x v="3"/>
    <x v="0"/>
    <x v="2"/>
    <n v="5"/>
    <n v="76237"/>
    <x v="416"/>
    <n v="20"/>
    <x v="0"/>
    <x v="1"/>
    <s v="Surat"/>
    <n v="304948"/>
    <n v="46029.78"/>
    <x v="2"/>
    <x v="2"/>
  </r>
  <r>
    <n v="854"/>
    <s v="Anita"/>
    <x v="0"/>
    <x v="3"/>
    <x v="12"/>
    <n v="5"/>
    <n v="39416"/>
    <x v="344"/>
    <n v="20"/>
    <x v="5"/>
    <x v="3"/>
    <s v="Bengaluru"/>
    <n v="157664"/>
    <n v="27069.69"/>
    <x v="2"/>
    <x v="1"/>
  </r>
  <r>
    <n v="855"/>
    <s v="Sneha"/>
    <x v="2"/>
    <x v="3"/>
    <x v="8"/>
    <n v="9"/>
    <n v="79661"/>
    <x v="478"/>
    <n v="0"/>
    <x v="3"/>
    <x v="3"/>
    <s v="Ahmedabad"/>
    <n v="716949"/>
    <n v="179087"/>
    <x v="0"/>
    <x v="2"/>
  </r>
  <r>
    <n v="856"/>
    <s v="Arjun"/>
    <x v="0"/>
    <x v="1"/>
    <x v="14"/>
    <n v="10"/>
    <n v="79279"/>
    <x v="479"/>
    <n v="0"/>
    <x v="5"/>
    <x v="0"/>
    <s v="Ahmedabad"/>
    <n v="792790"/>
    <n v="144962.45000000001"/>
    <x v="1"/>
    <x v="1"/>
  </r>
  <r>
    <n v="857"/>
    <s v="Anita"/>
    <x v="3"/>
    <x v="0"/>
    <x v="2"/>
    <n v="1"/>
    <n v="24759"/>
    <x v="172"/>
    <n v="10"/>
    <x v="3"/>
    <x v="1"/>
    <s v="Bengaluru"/>
    <n v="22283.1"/>
    <n v="2129.1"/>
    <x v="3"/>
    <x v="2"/>
  </r>
  <r>
    <n v="858"/>
    <s v="Anita"/>
    <x v="0"/>
    <x v="3"/>
    <x v="8"/>
    <n v="9"/>
    <n v="69904"/>
    <x v="148"/>
    <n v="10"/>
    <x v="5"/>
    <x v="1"/>
    <s v="Surat"/>
    <n v="566222.4"/>
    <n v="68087.22"/>
    <x v="2"/>
    <x v="1"/>
  </r>
  <r>
    <n v="859"/>
    <s v="Rahul"/>
    <x v="0"/>
    <x v="0"/>
    <x v="0"/>
    <n v="5"/>
    <n v="58533"/>
    <x v="480"/>
    <n v="10"/>
    <x v="2"/>
    <x v="0"/>
    <s v="Delhi"/>
    <n v="263398.5"/>
    <n v="46883.18"/>
    <x v="1"/>
    <x v="0"/>
  </r>
  <r>
    <n v="860"/>
    <s v="Isha"/>
    <x v="2"/>
    <x v="4"/>
    <x v="11"/>
    <n v="5"/>
    <n v="46527"/>
    <x v="76"/>
    <n v="5"/>
    <x v="1"/>
    <x v="2"/>
    <s v="Delhi"/>
    <n v="221003.25"/>
    <n v="63941.89"/>
    <x v="2"/>
    <x v="2"/>
  </r>
  <r>
    <n v="861"/>
    <s v="Aman"/>
    <x v="2"/>
    <x v="1"/>
    <x v="1"/>
    <n v="4"/>
    <n v="68582"/>
    <x v="84"/>
    <n v="10"/>
    <x v="1"/>
    <x v="2"/>
    <s v="Jaipur"/>
    <n v="246895.2"/>
    <n v="49953.440000000002"/>
    <x v="0"/>
    <x v="2"/>
  </r>
  <r>
    <n v="862"/>
    <s v="Vikas"/>
    <x v="1"/>
    <x v="4"/>
    <x v="11"/>
    <n v="3"/>
    <n v="66911"/>
    <x v="481"/>
    <n v="10"/>
    <x v="3"/>
    <x v="0"/>
    <s v="Delhi"/>
    <n v="180659.7"/>
    <n v="53869.45"/>
    <x v="2"/>
    <x v="0"/>
  </r>
  <r>
    <n v="863"/>
    <s v="Sneha"/>
    <x v="1"/>
    <x v="1"/>
    <x v="14"/>
    <n v="7"/>
    <n v="73748"/>
    <x v="269"/>
    <n v="15"/>
    <x v="5"/>
    <x v="1"/>
    <s v="Bengaluru"/>
    <n v="438800.6"/>
    <n v="56867.47"/>
    <x v="0"/>
    <x v="1"/>
  </r>
  <r>
    <n v="864"/>
    <s v="Priya"/>
    <x v="2"/>
    <x v="4"/>
    <x v="10"/>
    <n v="5"/>
    <n v="49153"/>
    <x v="118"/>
    <n v="20"/>
    <x v="2"/>
    <x v="3"/>
    <s v="Pune"/>
    <n v="196612"/>
    <n v="57301.52"/>
    <x v="2"/>
    <x v="1"/>
  </r>
  <r>
    <n v="865"/>
    <s v="Dev"/>
    <x v="3"/>
    <x v="1"/>
    <x v="1"/>
    <n v="10"/>
    <n v="28067"/>
    <x v="50"/>
    <n v="0"/>
    <x v="3"/>
    <x v="1"/>
    <s v="Indore"/>
    <n v="280670"/>
    <n v="46436.35"/>
    <x v="2"/>
    <x v="0"/>
  </r>
  <r>
    <n v="866"/>
    <s v="Vikas"/>
    <x v="2"/>
    <x v="3"/>
    <x v="12"/>
    <n v="4"/>
    <n v="76908"/>
    <x v="482"/>
    <n v="15"/>
    <x v="0"/>
    <x v="0"/>
    <s v="Pune"/>
    <n v="261487.2"/>
    <n v="55730.06"/>
    <x v="2"/>
    <x v="1"/>
  </r>
  <r>
    <n v="867"/>
    <s v="Priya"/>
    <x v="3"/>
    <x v="3"/>
    <x v="12"/>
    <n v="8"/>
    <n v="6469"/>
    <x v="483"/>
    <n v="15"/>
    <x v="0"/>
    <x v="0"/>
    <s v="Surat"/>
    <n v="43989.2"/>
    <n v="9498.56"/>
    <x v="1"/>
    <x v="2"/>
  </r>
  <r>
    <n v="868"/>
    <s v="Anita"/>
    <x v="1"/>
    <x v="1"/>
    <x v="1"/>
    <n v="6"/>
    <n v="39918"/>
    <x v="212"/>
    <n v="10"/>
    <x v="4"/>
    <x v="3"/>
    <s v="Surat"/>
    <n v="215557.2"/>
    <n v="17545.599999999999"/>
    <x v="3"/>
    <x v="0"/>
  </r>
  <r>
    <n v="869"/>
    <s v="Dev"/>
    <x v="2"/>
    <x v="4"/>
    <x v="13"/>
    <n v="1"/>
    <n v="59052"/>
    <x v="484"/>
    <n v="20"/>
    <x v="4"/>
    <x v="0"/>
    <s v="Bengaluru"/>
    <n v="47241.599999999999"/>
    <n v="8910.56"/>
    <x v="2"/>
    <x v="1"/>
  </r>
  <r>
    <n v="870"/>
    <s v="Anita"/>
    <x v="2"/>
    <x v="2"/>
    <x v="6"/>
    <n v="10"/>
    <n v="36749"/>
    <x v="49"/>
    <n v="10"/>
    <x v="4"/>
    <x v="2"/>
    <s v="Delhi"/>
    <n v="330741"/>
    <n v="28929.25"/>
    <x v="3"/>
    <x v="1"/>
  </r>
  <r>
    <n v="871"/>
    <s v="Dev"/>
    <x v="1"/>
    <x v="3"/>
    <x v="8"/>
    <n v="3"/>
    <n v="46099"/>
    <x v="429"/>
    <n v="10"/>
    <x v="0"/>
    <x v="2"/>
    <s v="Surat"/>
    <n v="124467.3"/>
    <n v="35260.65"/>
    <x v="3"/>
    <x v="0"/>
  </r>
  <r>
    <n v="872"/>
    <s v="Rohit"/>
    <x v="2"/>
    <x v="3"/>
    <x v="12"/>
    <n v="9"/>
    <n v="27764"/>
    <x v="485"/>
    <n v="0"/>
    <x v="1"/>
    <x v="3"/>
    <s v="Indore"/>
    <n v="249876"/>
    <n v="46840.84"/>
    <x v="2"/>
    <x v="1"/>
  </r>
  <r>
    <n v="873"/>
    <s v="Arjun"/>
    <x v="2"/>
    <x v="0"/>
    <x v="7"/>
    <n v="8"/>
    <n v="76320"/>
    <x v="486"/>
    <n v="5"/>
    <x v="5"/>
    <x v="0"/>
    <s v="Jaipur"/>
    <n v="580032"/>
    <n v="159805.47"/>
    <x v="0"/>
    <x v="1"/>
  </r>
  <r>
    <n v="874"/>
    <s v="Anita"/>
    <x v="2"/>
    <x v="4"/>
    <x v="13"/>
    <n v="5"/>
    <n v="76067"/>
    <x v="487"/>
    <n v="20"/>
    <x v="4"/>
    <x v="1"/>
    <s v="Bengaluru"/>
    <n v="304268"/>
    <n v="44993.19"/>
    <x v="3"/>
    <x v="1"/>
  </r>
  <r>
    <n v="875"/>
    <s v="Pooja"/>
    <x v="1"/>
    <x v="3"/>
    <x v="15"/>
    <n v="6"/>
    <n v="65215"/>
    <x v="213"/>
    <n v="5"/>
    <x v="5"/>
    <x v="3"/>
    <s v="Bengaluru"/>
    <n v="371725.5"/>
    <n v="30434.400000000001"/>
    <x v="0"/>
    <x v="0"/>
  </r>
  <r>
    <n v="876"/>
    <s v="Pooja"/>
    <x v="1"/>
    <x v="3"/>
    <x v="12"/>
    <n v="2"/>
    <n v="7028"/>
    <x v="107"/>
    <n v="20"/>
    <x v="5"/>
    <x v="1"/>
    <s v="Ahmedabad"/>
    <n v="11244.8"/>
    <n v="2718.17"/>
    <x v="3"/>
    <x v="1"/>
  </r>
  <r>
    <n v="877"/>
    <s v="Neha"/>
    <x v="3"/>
    <x v="4"/>
    <x v="11"/>
    <n v="9"/>
    <n v="44861"/>
    <x v="455"/>
    <n v="15"/>
    <x v="0"/>
    <x v="0"/>
    <s v="Delhi"/>
    <n v="343186.65"/>
    <n v="78435.91"/>
    <x v="3"/>
    <x v="1"/>
  </r>
  <r>
    <n v="878"/>
    <s v="Priya"/>
    <x v="2"/>
    <x v="0"/>
    <x v="0"/>
    <n v="7"/>
    <n v="15832"/>
    <x v="203"/>
    <n v="20"/>
    <x v="4"/>
    <x v="3"/>
    <s v="Pune"/>
    <n v="88659.199999999997"/>
    <n v="18804.62"/>
    <x v="2"/>
    <x v="0"/>
  </r>
  <r>
    <n v="879"/>
    <s v="Aman"/>
    <x v="1"/>
    <x v="2"/>
    <x v="3"/>
    <n v="10"/>
    <n v="629"/>
    <x v="256"/>
    <n v="15"/>
    <x v="2"/>
    <x v="2"/>
    <s v="Bengaluru"/>
    <n v="5346.5"/>
    <n v="987.94"/>
    <x v="3"/>
    <x v="0"/>
  </r>
  <r>
    <n v="880"/>
    <s v="Vikas"/>
    <x v="1"/>
    <x v="3"/>
    <x v="8"/>
    <n v="10"/>
    <n v="63981"/>
    <x v="488"/>
    <n v="20"/>
    <x v="0"/>
    <x v="2"/>
    <s v="Indore"/>
    <n v="511848"/>
    <n v="52825.47"/>
    <x v="3"/>
    <x v="2"/>
  </r>
  <r>
    <n v="881"/>
    <s v="Rahul"/>
    <x v="2"/>
    <x v="2"/>
    <x v="6"/>
    <n v="3"/>
    <n v="49341"/>
    <x v="489"/>
    <n v="0"/>
    <x v="1"/>
    <x v="3"/>
    <s v="Jaipur"/>
    <n v="148023"/>
    <n v="34668.17"/>
    <x v="2"/>
    <x v="0"/>
  </r>
  <r>
    <n v="882"/>
    <s v="Aman"/>
    <x v="3"/>
    <x v="2"/>
    <x v="5"/>
    <n v="4"/>
    <n v="54020"/>
    <x v="490"/>
    <n v="15"/>
    <x v="5"/>
    <x v="2"/>
    <s v="Indore"/>
    <n v="183668"/>
    <n v="27357.48"/>
    <x v="0"/>
    <x v="1"/>
  </r>
  <r>
    <n v="883"/>
    <s v="Arjun"/>
    <x v="1"/>
    <x v="4"/>
    <x v="11"/>
    <n v="8"/>
    <n v="60565"/>
    <x v="259"/>
    <n v="5"/>
    <x v="4"/>
    <x v="2"/>
    <s v="Delhi"/>
    <n v="460294"/>
    <n v="114126.5"/>
    <x v="3"/>
    <x v="2"/>
  </r>
  <r>
    <n v="884"/>
    <s v="Meera"/>
    <x v="1"/>
    <x v="1"/>
    <x v="1"/>
    <n v="8"/>
    <n v="17607"/>
    <x v="491"/>
    <n v="0"/>
    <x v="5"/>
    <x v="0"/>
    <s v="Jaipur"/>
    <n v="140856"/>
    <n v="31519.29"/>
    <x v="2"/>
    <x v="0"/>
  </r>
  <r>
    <n v="885"/>
    <s v="Isha"/>
    <x v="0"/>
    <x v="0"/>
    <x v="9"/>
    <n v="8"/>
    <n v="10181"/>
    <x v="212"/>
    <n v="5"/>
    <x v="2"/>
    <x v="1"/>
    <s v="Bengaluru"/>
    <n v="77375.600000000006"/>
    <n v="22423.84"/>
    <x v="3"/>
    <x v="0"/>
  </r>
  <r>
    <n v="886"/>
    <s v="Priya"/>
    <x v="3"/>
    <x v="3"/>
    <x v="15"/>
    <n v="10"/>
    <n v="10878"/>
    <x v="336"/>
    <n v="20"/>
    <x v="2"/>
    <x v="3"/>
    <s v="Jaipur"/>
    <n v="87024"/>
    <n v="10075.42"/>
    <x v="3"/>
    <x v="1"/>
  </r>
  <r>
    <n v="887"/>
    <s v="Rohit"/>
    <x v="2"/>
    <x v="0"/>
    <x v="0"/>
    <n v="2"/>
    <n v="3998"/>
    <x v="13"/>
    <n v="0"/>
    <x v="3"/>
    <x v="1"/>
    <s v="Delhi"/>
    <n v="7996"/>
    <n v="1568.02"/>
    <x v="0"/>
    <x v="0"/>
  </r>
  <r>
    <n v="888"/>
    <s v="Karan"/>
    <x v="3"/>
    <x v="2"/>
    <x v="6"/>
    <n v="5"/>
    <n v="15848"/>
    <x v="487"/>
    <n v="15"/>
    <x v="0"/>
    <x v="2"/>
    <s v="Jaipur"/>
    <n v="67354"/>
    <n v="18869.39"/>
    <x v="3"/>
    <x v="0"/>
  </r>
  <r>
    <n v="889"/>
    <s v="Rohit"/>
    <x v="0"/>
    <x v="4"/>
    <x v="10"/>
    <n v="8"/>
    <n v="49687"/>
    <x v="37"/>
    <n v="20"/>
    <x v="4"/>
    <x v="3"/>
    <s v="Jaipur"/>
    <n v="317996.79999999999"/>
    <n v="77368.59"/>
    <x v="1"/>
    <x v="2"/>
  </r>
  <r>
    <n v="890"/>
    <s v="Vikas"/>
    <x v="3"/>
    <x v="3"/>
    <x v="12"/>
    <n v="5"/>
    <n v="11948"/>
    <x v="492"/>
    <n v="5"/>
    <x v="0"/>
    <x v="0"/>
    <s v="Delhi"/>
    <n v="56753"/>
    <n v="10116.11"/>
    <x v="3"/>
    <x v="2"/>
  </r>
  <r>
    <n v="891"/>
    <s v="Sneha"/>
    <x v="0"/>
    <x v="0"/>
    <x v="9"/>
    <n v="3"/>
    <n v="2308"/>
    <x v="25"/>
    <n v="20"/>
    <x v="0"/>
    <x v="0"/>
    <s v="Pune"/>
    <n v="5539.2"/>
    <n v="1194.51"/>
    <x v="1"/>
    <x v="1"/>
  </r>
  <r>
    <n v="892"/>
    <s v="Meera"/>
    <x v="0"/>
    <x v="1"/>
    <x v="14"/>
    <n v="2"/>
    <n v="31853"/>
    <x v="463"/>
    <n v="0"/>
    <x v="3"/>
    <x v="2"/>
    <s v="Indore"/>
    <n v="63706"/>
    <n v="18077.509999999998"/>
    <x v="1"/>
    <x v="2"/>
  </r>
  <r>
    <n v="893"/>
    <s v="Arjun"/>
    <x v="3"/>
    <x v="3"/>
    <x v="8"/>
    <n v="8"/>
    <n v="79771"/>
    <x v="229"/>
    <n v="20"/>
    <x v="3"/>
    <x v="2"/>
    <s v="Ahmedabad"/>
    <n v="510534.40000000002"/>
    <n v="68421.89"/>
    <x v="2"/>
    <x v="1"/>
  </r>
  <r>
    <n v="894"/>
    <s v="Rohit"/>
    <x v="1"/>
    <x v="4"/>
    <x v="10"/>
    <n v="5"/>
    <n v="73674"/>
    <x v="193"/>
    <n v="0"/>
    <x v="5"/>
    <x v="2"/>
    <s v="Bengaluru"/>
    <n v="368370"/>
    <n v="93835.86"/>
    <x v="1"/>
    <x v="1"/>
  </r>
  <r>
    <n v="895"/>
    <s v="Dev"/>
    <x v="2"/>
    <x v="0"/>
    <x v="9"/>
    <n v="10"/>
    <n v="68353"/>
    <x v="87"/>
    <n v="15"/>
    <x v="0"/>
    <x v="2"/>
    <s v="Bengaluru"/>
    <n v="581000.5"/>
    <n v="167489.9"/>
    <x v="0"/>
    <x v="1"/>
  </r>
  <r>
    <n v="896"/>
    <s v="Neha"/>
    <x v="3"/>
    <x v="1"/>
    <x v="1"/>
    <n v="1"/>
    <n v="3085"/>
    <x v="493"/>
    <n v="15"/>
    <x v="5"/>
    <x v="2"/>
    <s v="Jaipur"/>
    <n v="2622.25"/>
    <n v="759.51"/>
    <x v="3"/>
    <x v="1"/>
  </r>
  <r>
    <n v="897"/>
    <s v="Anita"/>
    <x v="1"/>
    <x v="1"/>
    <x v="1"/>
    <n v="9"/>
    <n v="43352"/>
    <x v="466"/>
    <n v="5"/>
    <x v="4"/>
    <x v="3"/>
    <s v="Pune"/>
    <n v="370659.6"/>
    <n v="35327.19"/>
    <x v="1"/>
    <x v="1"/>
  </r>
  <r>
    <n v="898"/>
    <s v="Rahul"/>
    <x v="2"/>
    <x v="3"/>
    <x v="8"/>
    <n v="4"/>
    <n v="14021"/>
    <x v="494"/>
    <n v="20"/>
    <x v="3"/>
    <x v="0"/>
    <s v="Bengaluru"/>
    <n v="44867.199999999997"/>
    <n v="10340.75"/>
    <x v="3"/>
    <x v="0"/>
  </r>
  <r>
    <n v="899"/>
    <s v="Neha"/>
    <x v="3"/>
    <x v="3"/>
    <x v="12"/>
    <n v="10"/>
    <n v="38637"/>
    <x v="0"/>
    <n v="0"/>
    <x v="4"/>
    <x v="2"/>
    <s v="Delhi"/>
    <n v="386370"/>
    <n v="67689.08"/>
    <x v="0"/>
    <x v="0"/>
  </r>
  <r>
    <n v="900"/>
    <s v="Riya"/>
    <x v="1"/>
    <x v="3"/>
    <x v="8"/>
    <n v="5"/>
    <n v="20950"/>
    <x v="253"/>
    <n v="0"/>
    <x v="0"/>
    <x v="0"/>
    <s v="Mumbai"/>
    <n v="104750"/>
    <n v="29731.62"/>
    <x v="1"/>
    <x v="0"/>
  </r>
  <r>
    <n v="901"/>
    <s v="Sneha"/>
    <x v="0"/>
    <x v="0"/>
    <x v="9"/>
    <n v="1"/>
    <n v="29788"/>
    <x v="495"/>
    <n v="0"/>
    <x v="4"/>
    <x v="0"/>
    <s v="Jaipur"/>
    <n v="29788"/>
    <n v="6406.96"/>
    <x v="0"/>
    <x v="2"/>
  </r>
  <r>
    <n v="902"/>
    <s v="Dev"/>
    <x v="0"/>
    <x v="1"/>
    <x v="1"/>
    <n v="10"/>
    <n v="1984"/>
    <x v="496"/>
    <n v="20"/>
    <x v="1"/>
    <x v="2"/>
    <s v="Indore"/>
    <n v="15872"/>
    <n v="2918.96"/>
    <x v="3"/>
    <x v="1"/>
  </r>
  <r>
    <n v="903"/>
    <s v="Anita"/>
    <x v="0"/>
    <x v="0"/>
    <x v="7"/>
    <n v="1"/>
    <n v="69693"/>
    <x v="497"/>
    <n v="10"/>
    <x v="5"/>
    <x v="2"/>
    <s v="Bengaluru"/>
    <n v="62723.7"/>
    <n v="13453.25"/>
    <x v="3"/>
    <x v="2"/>
  </r>
  <r>
    <n v="904"/>
    <s v="Meera"/>
    <x v="2"/>
    <x v="3"/>
    <x v="15"/>
    <n v="1"/>
    <n v="14651"/>
    <x v="292"/>
    <n v="15"/>
    <x v="4"/>
    <x v="0"/>
    <s v="Surat"/>
    <n v="12453.35"/>
    <n v="2567.4899999999998"/>
    <x v="3"/>
    <x v="2"/>
  </r>
  <r>
    <n v="905"/>
    <s v="Pooja"/>
    <x v="3"/>
    <x v="3"/>
    <x v="12"/>
    <n v="7"/>
    <n v="8656"/>
    <x v="295"/>
    <n v="0"/>
    <x v="2"/>
    <x v="0"/>
    <s v="Bengaluru"/>
    <n v="60592"/>
    <n v="7700.75"/>
    <x v="1"/>
    <x v="1"/>
  </r>
  <r>
    <n v="906"/>
    <s v="Pooja"/>
    <x v="2"/>
    <x v="1"/>
    <x v="1"/>
    <n v="10"/>
    <n v="45455"/>
    <x v="498"/>
    <n v="20"/>
    <x v="2"/>
    <x v="3"/>
    <s v="Indore"/>
    <n v="363640"/>
    <n v="60399.03"/>
    <x v="0"/>
    <x v="0"/>
  </r>
  <r>
    <n v="907"/>
    <s v="Rahul"/>
    <x v="0"/>
    <x v="2"/>
    <x v="5"/>
    <n v="5"/>
    <n v="42573"/>
    <x v="499"/>
    <n v="5"/>
    <x v="0"/>
    <x v="1"/>
    <s v="Surat"/>
    <n v="202221.75"/>
    <n v="52336.58"/>
    <x v="1"/>
    <x v="2"/>
  </r>
  <r>
    <n v="908"/>
    <s v="Meera"/>
    <x v="3"/>
    <x v="0"/>
    <x v="0"/>
    <n v="1"/>
    <n v="45667"/>
    <x v="500"/>
    <n v="20"/>
    <x v="5"/>
    <x v="2"/>
    <s v="Surat"/>
    <n v="36533.599999999999"/>
    <n v="4627.66"/>
    <x v="1"/>
    <x v="0"/>
  </r>
  <r>
    <n v="909"/>
    <s v="Pooja"/>
    <x v="1"/>
    <x v="0"/>
    <x v="7"/>
    <n v="9"/>
    <n v="52069"/>
    <x v="501"/>
    <n v="0"/>
    <x v="2"/>
    <x v="3"/>
    <s v="Delhi"/>
    <n v="468621"/>
    <n v="43775.24"/>
    <x v="1"/>
    <x v="1"/>
  </r>
  <r>
    <n v="910"/>
    <s v="Neha"/>
    <x v="3"/>
    <x v="0"/>
    <x v="9"/>
    <n v="10"/>
    <n v="7071"/>
    <x v="365"/>
    <n v="15"/>
    <x v="2"/>
    <x v="1"/>
    <s v="Surat"/>
    <n v="60103.5"/>
    <n v="13215.73"/>
    <x v="2"/>
    <x v="2"/>
  </r>
  <r>
    <n v="911"/>
    <s v="Riya"/>
    <x v="2"/>
    <x v="0"/>
    <x v="2"/>
    <n v="10"/>
    <n v="14394"/>
    <x v="399"/>
    <n v="15"/>
    <x v="0"/>
    <x v="2"/>
    <s v="Surat"/>
    <n v="122349"/>
    <n v="24630.03"/>
    <x v="2"/>
    <x v="2"/>
  </r>
  <r>
    <n v="912"/>
    <s v="Arjun"/>
    <x v="3"/>
    <x v="2"/>
    <x v="6"/>
    <n v="3"/>
    <n v="20689"/>
    <x v="502"/>
    <n v="15"/>
    <x v="2"/>
    <x v="3"/>
    <s v="Pune"/>
    <n v="52756.95"/>
    <n v="13618.91"/>
    <x v="2"/>
    <x v="1"/>
  </r>
  <r>
    <n v="913"/>
    <s v="Isha"/>
    <x v="3"/>
    <x v="3"/>
    <x v="12"/>
    <n v="1"/>
    <n v="33505"/>
    <x v="96"/>
    <n v="10"/>
    <x v="5"/>
    <x v="1"/>
    <s v="Bengaluru"/>
    <n v="30154.5"/>
    <n v="4268.17"/>
    <x v="2"/>
    <x v="1"/>
  </r>
  <r>
    <n v="914"/>
    <s v="Neha"/>
    <x v="3"/>
    <x v="3"/>
    <x v="12"/>
    <n v="7"/>
    <n v="2506"/>
    <x v="208"/>
    <n v="20"/>
    <x v="3"/>
    <x v="2"/>
    <s v="Jaipur"/>
    <n v="14033.6"/>
    <n v="3743.85"/>
    <x v="3"/>
    <x v="1"/>
  </r>
  <r>
    <n v="915"/>
    <s v="Sneha"/>
    <x v="3"/>
    <x v="0"/>
    <x v="0"/>
    <n v="2"/>
    <n v="60163"/>
    <x v="225"/>
    <n v="10"/>
    <x v="5"/>
    <x v="3"/>
    <s v="Surat"/>
    <n v="108293.4"/>
    <n v="25839.06"/>
    <x v="2"/>
    <x v="2"/>
  </r>
  <r>
    <n v="916"/>
    <s v="Isha"/>
    <x v="3"/>
    <x v="4"/>
    <x v="13"/>
    <n v="8"/>
    <n v="14601"/>
    <x v="503"/>
    <n v="5"/>
    <x v="5"/>
    <x v="2"/>
    <s v="Mumbai"/>
    <n v="110967.6"/>
    <n v="24803.05"/>
    <x v="0"/>
    <x v="1"/>
  </r>
  <r>
    <n v="917"/>
    <s v="Dev"/>
    <x v="2"/>
    <x v="1"/>
    <x v="14"/>
    <n v="7"/>
    <n v="69738"/>
    <x v="331"/>
    <n v="20"/>
    <x v="1"/>
    <x v="0"/>
    <s v="Indore"/>
    <n v="390532.8"/>
    <n v="57102.53"/>
    <x v="3"/>
    <x v="0"/>
  </r>
  <r>
    <n v="918"/>
    <s v="Priya"/>
    <x v="3"/>
    <x v="2"/>
    <x v="3"/>
    <n v="9"/>
    <n v="31127"/>
    <x v="229"/>
    <n v="10"/>
    <x v="3"/>
    <x v="2"/>
    <s v="Indore"/>
    <n v="252128.7"/>
    <n v="59643.1"/>
    <x v="1"/>
    <x v="0"/>
  </r>
  <r>
    <n v="919"/>
    <s v="Priya"/>
    <x v="0"/>
    <x v="3"/>
    <x v="12"/>
    <n v="10"/>
    <n v="34842"/>
    <x v="353"/>
    <n v="15"/>
    <x v="3"/>
    <x v="3"/>
    <s v="Surat"/>
    <n v="296157"/>
    <n v="79150.649999999994"/>
    <x v="0"/>
    <x v="2"/>
  </r>
  <r>
    <n v="920"/>
    <s v="Vikas"/>
    <x v="2"/>
    <x v="2"/>
    <x v="3"/>
    <n v="10"/>
    <n v="4001"/>
    <x v="504"/>
    <n v="10"/>
    <x v="0"/>
    <x v="2"/>
    <s v="Bengaluru"/>
    <n v="36009"/>
    <n v="6772.31"/>
    <x v="1"/>
    <x v="2"/>
  </r>
  <r>
    <n v="921"/>
    <s v="Dev"/>
    <x v="3"/>
    <x v="1"/>
    <x v="1"/>
    <n v="4"/>
    <n v="50562"/>
    <x v="315"/>
    <n v="15"/>
    <x v="4"/>
    <x v="0"/>
    <s v="Surat"/>
    <n v="171910.8"/>
    <n v="43339.7"/>
    <x v="3"/>
    <x v="2"/>
  </r>
  <r>
    <n v="922"/>
    <s v="Priya"/>
    <x v="1"/>
    <x v="3"/>
    <x v="8"/>
    <n v="1"/>
    <n v="27273"/>
    <x v="117"/>
    <n v="20"/>
    <x v="5"/>
    <x v="3"/>
    <s v="Pune"/>
    <n v="21818.400000000001"/>
    <n v="4217.96"/>
    <x v="1"/>
    <x v="1"/>
  </r>
  <r>
    <n v="923"/>
    <s v="Meera"/>
    <x v="3"/>
    <x v="0"/>
    <x v="2"/>
    <n v="10"/>
    <n v="1343"/>
    <x v="66"/>
    <n v="10"/>
    <x v="0"/>
    <x v="0"/>
    <s v="Mumbai"/>
    <n v="12087"/>
    <n v="2036.85"/>
    <x v="2"/>
    <x v="2"/>
  </r>
  <r>
    <n v="924"/>
    <s v="Anita"/>
    <x v="3"/>
    <x v="0"/>
    <x v="9"/>
    <n v="2"/>
    <n v="25053"/>
    <x v="505"/>
    <n v="20"/>
    <x v="4"/>
    <x v="1"/>
    <s v="Indore"/>
    <n v="40084.800000000003"/>
    <n v="8977.98"/>
    <x v="3"/>
    <x v="1"/>
  </r>
  <r>
    <n v="925"/>
    <s v="Rahul"/>
    <x v="3"/>
    <x v="1"/>
    <x v="1"/>
    <n v="4"/>
    <n v="51555"/>
    <x v="327"/>
    <n v="15"/>
    <x v="2"/>
    <x v="1"/>
    <s v="Surat"/>
    <n v="175287"/>
    <n v="22180.82"/>
    <x v="3"/>
    <x v="2"/>
  </r>
  <r>
    <n v="926"/>
    <s v="Aman"/>
    <x v="1"/>
    <x v="3"/>
    <x v="8"/>
    <n v="8"/>
    <n v="53285"/>
    <x v="506"/>
    <n v="20"/>
    <x v="5"/>
    <x v="0"/>
    <s v="Delhi"/>
    <n v="341024"/>
    <n v="51297.59"/>
    <x v="1"/>
    <x v="2"/>
  </r>
  <r>
    <n v="927"/>
    <s v="Rohit"/>
    <x v="1"/>
    <x v="2"/>
    <x v="5"/>
    <n v="9"/>
    <n v="14022"/>
    <x v="507"/>
    <n v="10"/>
    <x v="1"/>
    <x v="3"/>
    <s v="Jaipur"/>
    <n v="113578.2"/>
    <n v="18569.11"/>
    <x v="1"/>
    <x v="0"/>
  </r>
  <r>
    <n v="928"/>
    <s v="Neha"/>
    <x v="0"/>
    <x v="3"/>
    <x v="12"/>
    <n v="3"/>
    <n v="10759"/>
    <x v="196"/>
    <n v="20"/>
    <x v="0"/>
    <x v="3"/>
    <s v="Jaipur"/>
    <n v="25821.599999999999"/>
    <n v="7256.07"/>
    <x v="1"/>
    <x v="1"/>
  </r>
  <r>
    <n v="929"/>
    <s v="Aman"/>
    <x v="3"/>
    <x v="1"/>
    <x v="4"/>
    <n v="9"/>
    <n v="43031"/>
    <x v="88"/>
    <n v="15"/>
    <x v="2"/>
    <x v="2"/>
    <s v="Delhi"/>
    <n v="329187.15000000002"/>
    <n v="65109.25"/>
    <x v="3"/>
    <x v="1"/>
  </r>
  <r>
    <n v="930"/>
    <s v="Neha"/>
    <x v="0"/>
    <x v="3"/>
    <x v="8"/>
    <n v="3"/>
    <n v="48466"/>
    <x v="391"/>
    <n v="20"/>
    <x v="0"/>
    <x v="0"/>
    <s v="Surat"/>
    <n v="116318.39999999999"/>
    <n v="17819.63"/>
    <x v="0"/>
    <x v="0"/>
  </r>
  <r>
    <n v="931"/>
    <s v="Dev"/>
    <x v="0"/>
    <x v="2"/>
    <x v="3"/>
    <n v="6"/>
    <n v="75531"/>
    <x v="469"/>
    <n v="0"/>
    <x v="1"/>
    <x v="0"/>
    <s v="Bengaluru"/>
    <n v="453186"/>
    <n v="74925.69"/>
    <x v="3"/>
    <x v="0"/>
  </r>
  <r>
    <n v="932"/>
    <s v="Rohit"/>
    <x v="1"/>
    <x v="0"/>
    <x v="7"/>
    <n v="6"/>
    <n v="71603"/>
    <x v="508"/>
    <n v="20"/>
    <x v="0"/>
    <x v="0"/>
    <s v="Bengaluru"/>
    <n v="343694.4"/>
    <n v="81820.61"/>
    <x v="3"/>
    <x v="1"/>
  </r>
  <r>
    <n v="933"/>
    <s v="Priya"/>
    <x v="3"/>
    <x v="4"/>
    <x v="10"/>
    <n v="1"/>
    <n v="64805"/>
    <x v="498"/>
    <n v="20"/>
    <x v="1"/>
    <x v="1"/>
    <s v="Mumbai"/>
    <n v="51844"/>
    <n v="4443.72"/>
    <x v="2"/>
    <x v="0"/>
  </r>
  <r>
    <n v="934"/>
    <s v="Aman"/>
    <x v="0"/>
    <x v="1"/>
    <x v="14"/>
    <n v="3"/>
    <n v="60497"/>
    <x v="509"/>
    <n v="5"/>
    <x v="1"/>
    <x v="3"/>
    <s v="Pune"/>
    <n v="172416.45"/>
    <n v="21541.17"/>
    <x v="0"/>
    <x v="0"/>
  </r>
  <r>
    <n v="935"/>
    <s v="Arjun"/>
    <x v="3"/>
    <x v="1"/>
    <x v="1"/>
    <n v="5"/>
    <n v="73221"/>
    <x v="12"/>
    <n v="15"/>
    <x v="1"/>
    <x v="1"/>
    <s v="Bengaluru"/>
    <n v="311189.25"/>
    <n v="80798.81"/>
    <x v="3"/>
    <x v="2"/>
  </r>
  <r>
    <n v="936"/>
    <s v="Vikas"/>
    <x v="3"/>
    <x v="4"/>
    <x v="11"/>
    <n v="10"/>
    <n v="51132"/>
    <x v="467"/>
    <n v="20"/>
    <x v="5"/>
    <x v="2"/>
    <s v="Mumbai"/>
    <n v="409056"/>
    <n v="82354.81"/>
    <x v="2"/>
    <x v="1"/>
  </r>
  <r>
    <n v="937"/>
    <s v="Anita"/>
    <x v="2"/>
    <x v="0"/>
    <x v="0"/>
    <n v="10"/>
    <n v="79847"/>
    <x v="276"/>
    <n v="10"/>
    <x v="5"/>
    <x v="3"/>
    <s v="Ahmedabad"/>
    <n v="718623"/>
    <n v="143645.13"/>
    <x v="0"/>
    <x v="2"/>
  </r>
  <r>
    <n v="938"/>
    <s v="Vikas"/>
    <x v="1"/>
    <x v="3"/>
    <x v="8"/>
    <n v="3"/>
    <n v="19977"/>
    <x v="192"/>
    <n v="20"/>
    <x v="2"/>
    <x v="2"/>
    <s v="Pune"/>
    <n v="47944.800000000003"/>
    <n v="3861.82"/>
    <x v="2"/>
    <x v="2"/>
  </r>
  <r>
    <n v="939"/>
    <s v="Isha"/>
    <x v="1"/>
    <x v="3"/>
    <x v="12"/>
    <n v="9"/>
    <n v="37000"/>
    <x v="340"/>
    <n v="10"/>
    <x v="2"/>
    <x v="1"/>
    <s v="Pune"/>
    <n v="299700"/>
    <n v="34906.080000000002"/>
    <x v="2"/>
    <x v="0"/>
  </r>
  <r>
    <n v="940"/>
    <s v="Riya"/>
    <x v="1"/>
    <x v="2"/>
    <x v="6"/>
    <n v="10"/>
    <n v="37354"/>
    <x v="510"/>
    <n v="5"/>
    <x v="0"/>
    <x v="0"/>
    <s v="Ahmedabad"/>
    <n v="354863"/>
    <n v="84219.28"/>
    <x v="0"/>
    <x v="2"/>
  </r>
  <r>
    <n v="941"/>
    <s v="Priya"/>
    <x v="3"/>
    <x v="0"/>
    <x v="2"/>
    <n v="10"/>
    <n v="39609"/>
    <x v="386"/>
    <n v="20"/>
    <x v="2"/>
    <x v="1"/>
    <s v="Jaipur"/>
    <n v="316872"/>
    <n v="69771.539999999994"/>
    <x v="1"/>
    <x v="1"/>
  </r>
  <r>
    <n v="942"/>
    <s v="Anita"/>
    <x v="1"/>
    <x v="4"/>
    <x v="10"/>
    <n v="4"/>
    <n v="41975"/>
    <x v="431"/>
    <n v="15"/>
    <x v="4"/>
    <x v="3"/>
    <s v="Jaipur"/>
    <n v="142715"/>
    <n v="21365.88"/>
    <x v="1"/>
    <x v="0"/>
  </r>
  <r>
    <n v="943"/>
    <s v="Isha"/>
    <x v="1"/>
    <x v="4"/>
    <x v="10"/>
    <n v="5"/>
    <n v="43563"/>
    <x v="74"/>
    <n v="5"/>
    <x v="4"/>
    <x v="3"/>
    <s v="Mumbai"/>
    <n v="206924.25"/>
    <n v="43510.01"/>
    <x v="3"/>
    <x v="2"/>
  </r>
  <r>
    <n v="944"/>
    <s v="Arjun"/>
    <x v="3"/>
    <x v="2"/>
    <x v="6"/>
    <n v="3"/>
    <n v="41014"/>
    <x v="21"/>
    <n v="5"/>
    <x v="4"/>
    <x v="3"/>
    <s v="Mumbai"/>
    <n v="116889.9"/>
    <n v="12304.1"/>
    <x v="0"/>
    <x v="1"/>
  </r>
  <r>
    <n v="945"/>
    <s v="Sneha"/>
    <x v="3"/>
    <x v="4"/>
    <x v="11"/>
    <n v="8"/>
    <n v="66708"/>
    <x v="511"/>
    <n v="15"/>
    <x v="1"/>
    <x v="2"/>
    <s v="Ahmedabad"/>
    <n v="453614.4"/>
    <n v="118446.08"/>
    <x v="0"/>
    <x v="2"/>
  </r>
  <r>
    <n v="946"/>
    <s v="Neha"/>
    <x v="1"/>
    <x v="0"/>
    <x v="0"/>
    <n v="6"/>
    <n v="9582"/>
    <x v="456"/>
    <n v="20"/>
    <x v="3"/>
    <x v="2"/>
    <s v="Delhi"/>
    <n v="45993.599999999999"/>
    <n v="10681.76"/>
    <x v="3"/>
    <x v="2"/>
  </r>
  <r>
    <n v="947"/>
    <s v="Aman"/>
    <x v="0"/>
    <x v="0"/>
    <x v="7"/>
    <n v="1"/>
    <n v="58234"/>
    <x v="317"/>
    <n v="20"/>
    <x v="1"/>
    <x v="0"/>
    <s v="Ahmedabad"/>
    <n v="46587.199999999997"/>
    <n v="10972.99"/>
    <x v="0"/>
    <x v="0"/>
  </r>
  <r>
    <n v="948"/>
    <s v="Dev"/>
    <x v="0"/>
    <x v="1"/>
    <x v="14"/>
    <n v="4"/>
    <n v="28560"/>
    <x v="357"/>
    <n v="20"/>
    <x v="3"/>
    <x v="3"/>
    <s v="Surat"/>
    <n v="91392"/>
    <n v="14357.05"/>
    <x v="1"/>
    <x v="0"/>
  </r>
  <r>
    <n v="949"/>
    <s v="Neha"/>
    <x v="3"/>
    <x v="1"/>
    <x v="4"/>
    <n v="2"/>
    <n v="31381"/>
    <x v="393"/>
    <n v="0"/>
    <x v="4"/>
    <x v="2"/>
    <s v="Jaipur"/>
    <n v="62762"/>
    <n v="8574.9"/>
    <x v="0"/>
    <x v="2"/>
  </r>
  <r>
    <n v="950"/>
    <s v="Pooja"/>
    <x v="3"/>
    <x v="2"/>
    <x v="6"/>
    <n v="8"/>
    <n v="6378"/>
    <x v="512"/>
    <n v="10"/>
    <x v="4"/>
    <x v="0"/>
    <s v="Indore"/>
    <n v="45921.599999999999"/>
    <n v="3711.5"/>
    <x v="3"/>
    <x v="1"/>
  </r>
  <r>
    <n v="951"/>
    <s v="Arjun"/>
    <x v="1"/>
    <x v="4"/>
    <x v="13"/>
    <n v="3"/>
    <n v="53098"/>
    <x v="513"/>
    <n v="0"/>
    <x v="4"/>
    <x v="3"/>
    <s v="Mumbai"/>
    <n v="159294"/>
    <n v="30351.3"/>
    <x v="3"/>
    <x v="1"/>
  </r>
  <r>
    <n v="952"/>
    <s v="Sneha"/>
    <x v="1"/>
    <x v="1"/>
    <x v="4"/>
    <n v="4"/>
    <n v="44314"/>
    <x v="126"/>
    <n v="15"/>
    <x v="1"/>
    <x v="0"/>
    <s v="Jaipur"/>
    <n v="150667.6"/>
    <n v="34173.96"/>
    <x v="3"/>
    <x v="2"/>
  </r>
  <r>
    <n v="953"/>
    <s v="Arjun"/>
    <x v="2"/>
    <x v="2"/>
    <x v="6"/>
    <n v="3"/>
    <n v="31293"/>
    <x v="81"/>
    <n v="20"/>
    <x v="4"/>
    <x v="1"/>
    <s v="Mumbai"/>
    <n v="75103.199999999997"/>
    <n v="15190.39"/>
    <x v="1"/>
    <x v="2"/>
  </r>
  <r>
    <n v="954"/>
    <s v="Arjun"/>
    <x v="3"/>
    <x v="1"/>
    <x v="14"/>
    <n v="2"/>
    <n v="28172"/>
    <x v="235"/>
    <n v="20"/>
    <x v="4"/>
    <x v="2"/>
    <s v="Indore"/>
    <n v="45075.199999999997"/>
    <n v="4301.26"/>
    <x v="0"/>
    <x v="2"/>
  </r>
  <r>
    <n v="955"/>
    <s v="Neha"/>
    <x v="0"/>
    <x v="1"/>
    <x v="14"/>
    <n v="7"/>
    <n v="63592"/>
    <x v="514"/>
    <n v="20"/>
    <x v="4"/>
    <x v="1"/>
    <s v="Ahmedabad"/>
    <n v="356115.20000000001"/>
    <n v="104559.21"/>
    <x v="0"/>
    <x v="0"/>
  </r>
  <r>
    <n v="956"/>
    <s v="Anita"/>
    <x v="1"/>
    <x v="2"/>
    <x v="6"/>
    <n v="3"/>
    <n v="64267"/>
    <x v="515"/>
    <n v="0"/>
    <x v="1"/>
    <x v="3"/>
    <s v="Pune"/>
    <n v="192801"/>
    <n v="47030.34"/>
    <x v="2"/>
    <x v="1"/>
  </r>
  <r>
    <n v="957"/>
    <s v="Neha"/>
    <x v="1"/>
    <x v="4"/>
    <x v="10"/>
    <n v="2"/>
    <n v="41449"/>
    <x v="516"/>
    <n v="10"/>
    <x v="0"/>
    <x v="3"/>
    <s v="Delhi"/>
    <n v="74608.2"/>
    <n v="13127.11"/>
    <x v="0"/>
    <x v="0"/>
  </r>
  <r>
    <n v="958"/>
    <s v="Pooja"/>
    <x v="3"/>
    <x v="1"/>
    <x v="4"/>
    <n v="7"/>
    <n v="39574"/>
    <x v="410"/>
    <n v="10"/>
    <x v="0"/>
    <x v="3"/>
    <s v="Indore"/>
    <n v="249316.2"/>
    <n v="71607.839999999997"/>
    <x v="1"/>
    <x v="2"/>
  </r>
  <r>
    <n v="959"/>
    <s v="Isha"/>
    <x v="1"/>
    <x v="2"/>
    <x v="6"/>
    <n v="9"/>
    <n v="12005"/>
    <x v="138"/>
    <n v="10"/>
    <x v="2"/>
    <x v="2"/>
    <s v="Indore"/>
    <n v="97240.5"/>
    <n v="14242.24"/>
    <x v="0"/>
    <x v="0"/>
  </r>
  <r>
    <n v="960"/>
    <s v="Dev"/>
    <x v="2"/>
    <x v="4"/>
    <x v="11"/>
    <n v="10"/>
    <n v="71851"/>
    <x v="424"/>
    <n v="10"/>
    <x v="4"/>
    <x v="1"/>
    <s v="Jaipur"/>
    <n v="646659"/>
    <n v="150284.49"/>
    <x v="3"/>
    <x v="2"/>
  </r>
  <r>
    <n v="961"/>
    <s v="Pooja"/>
    <x v="2"/>
    <x v="1"/>
    <x v="1"/>
    <n v="5"/>
    <n v="16642"/>
    <x v="517"/>
    <n v="15"/>
    <x v="4"/>
    <x v="3"/>
    <s v="Bengaluru"/>
    <n v="70728.5"/>
    <n v="17666.75"/>
    <x v="0"/>
    <x v="0"/>
  </r>
  <r>
    <n v="962"/>
    <s v="Neha"/>
    <x v="1"/>
    <x v="4"/>
    <x v="11"/>
    <n v="1"/>
    <n v="78999"/>
    <x v="197"/>
    <n v="15"/>
    <x v="5"/>
    <x v="2"/>
    <s v="Bengaluru"/>
    <n v="67149.149999999994"/>
    <n v="7998.49"/>
    <x v="2"/>
    <x v="2"/>
  </r>
  <r>
    <n v="963"/>
    <s v="Anita"/>
    <x v="1"/>
    <x v="3"/>
    <x v="8"/>
    <n v="6"/>
    <n v="20981"/>
    <x v="518"/>
    <n v="15"/>
    <x v="0"/>
    <x v="0"/>
    <s v="Surat"/>
    <n v="107003.1"/>
    <n v="18084.669999999998"/>
    <x v="2"/>
    <x v="2"/>
  </r>
  <r>
    <n v="964"/>
    <s v="Rahul"/>
    <x v="3"/>
    <x v="1"/>
    <x v="1"/>
    <n v="4"/>
    <n v="76215"/>
    <x v="519"/>
    <n v="15"/>
    <x v="4"/>
    <x v="1"/>
    <s v="Bengaluru"/>
    <n v="259131"/>
    <n v="23905.18"/>
    <x v="2"/>
    <x v="0"/>
  </r>
  <r>
    <n v="965"/>
    <s v="Pooja"/>
    <x v="3"/>
    <x v="4"/>
    <x v="11"/>
    <n v="2"/>
    <n v="61463"/>
    <x v="520"/>
    <n v="5"/>
    <x v="5"/>
    <x v="1"/>
    <s v="Delhi"/>
    <n v="116779.7"/>
    <n v="28522.16"/>
    <x v="0"/>
    <x v="1"/>
  </r>
  <r>
    <n v="966"/>
    <s v="Vikas"/>
    <x v="0"/>
    <x v="0"/>
    <x v="9"/>
    <n v="6"/>
    <n v="66657"/>
    <x v="83"/>
    <n v="5"/>
    <x v="4"/>
    <x v="0"/>
    <s v="Delhi"/>
    <n v="379944.9"/>
    <n v="109512.76"/>
    <x v="0"/>
    <x v="0"/>
  </r>
  <r>
    <n v="967"/>
    <s v="Isha"/>
    <x v="2"/>
    <x v="0"/>
    <x v="9"/>
    <n v="8"/>
    <n v="78280"/>
    <x v="521"/>
    <n v="5"/>
    <x v="3"/>
    <x v="1"/>
    <s v="Pune"/>
    <n v="594928"/>
    <n v="108385.87"/>
    <x v="2"/>
    <x v="1"/>
  </r>
  <r>
    <n v="968"/>
    <s v="Priya"/>
    <x v="2"/>
    <x v="1"/>
    <x v="1"/>
    <n v="2"/>
    <n v="15629"/>
    <x v="522"/>
    <n v="5"/>
    <x v="3"/>
    <x v="0"/>
    <s v="Delhi"/>
    <n v="29695.1"/>
    <n v="4919.1499999999996"/>
    <x v="3"/>
    <x v="2"/>
  </r>
  <r>
    <n v="969"/>
    <s v="Anita"/>
    <x v="3"/>
    <x v="4"/>
    <x v="13"/>
    <n v="2"/>
    <n v="12539"/>
    <x v="523"/>
    <n v="0"/>
    <x v="5"/>
    <x v="1"/>
    <s v="Delhi"/>
    <n v="25078"/>
    <n v="7504.59"/>
    <x v="2"/>
    <x v="2"/>
  </r>
  <r>
    <n v="970"/>
    <s v="Rohit"/>
    <x v="2"/>
    <x v="2"/>
    <x v="6"/>
    <n v="10"/>
    <n v="58894"/>
    <x v="524"/>
    <n v="5"/>
    <x v="3"/>
    <x v="0"/>
    <s v="Bengaluru"/>
    <n v="559493"/>
    <n v="55331.15"/>
    <x v="2"/>
    <x v="0"/>
  </r>
  <r>
    <n v="971"/>
    <s v="Aman"/>
    <x v="1"/>
    <x v="2"/>
    <x v="5"/>
    <n v="2"/>
    <n v="52965"/>
    <x v="47"/>
    <n v="5"/>
    <x v="5"/>
    <x v="3"/>
    <s v="Bengaluru"/>
    <n v="100633.5"/>
    <n v="10944.11"/>
    <x v="1"/>
    <x v="0"/>
  </r>
  <r>
    <n v="972"/>
    <s v="Aman"/>
    <x v="0"/>
    <x v="4"/>
    <x v="13"/>
    <n v="4"/>
    <n v="26697"/>
    <x v="407"/>
    <n v="5"/>
    <x v="2"/>
    <x v="1"/>
    <s v="Delhi"/>
    <n v="101448.6"/>
    <n v="22786.54"/>
    <x v="1"/>
    <x v="1"/>
  </r>
  <r>
    <n v="973"/>
    <s v="Karan"/>
    <x v="0"/>
    <x v="3"/>
    <x v="12"/>
    <n v="5"/>
    <n v="45865"/>
    <x v="342"/>
    <n v="0"/>
    <x v="5"/>
    <x v="1"/>
    <s v="Indore"/>
    <n v="229325"/>
    <n v="33696.910000000003"/>
    <x v="2"/>
    <x v="0"/>
  </r>
  <r>
    <n v="974"/>
    <s v="Rohit"/>
    <x v="0"/>
    <x v="3"/>
    <x v="15"/>
    <n v="8"/>
    <n v="29001"/>
    <x v="432"/>
    <n v="5"/>
    <x v="0"/>
    <x v="1"/>
    <s v="Jaipur"/>
    <n v="220407.6"/>
    <n v="49850.95"/>
    <x v="3"/>
    <x v="0"/>
  </r>
  <r>
    <n v="975"/>
    <s v="Pooja"/>
    <x v="3"/>
    <x v="3"/>
    <x v="8"/>
    <n v="8"/>
    <n v="42167"/>
    <x v="79"/>
    <n v="5"/>
    <x v="5"/>
    <x v="2"/>
    <s v="Delhi"/>
    <n v="320469.2"/>
    <n v="71498.34"/>
    <x v="1"/>
    <x v="1"/>
  </r>
  <r>
    <n v="976"/>
    <s v="Aman"/>
    <x v="0"/>
    <x v="2"/>
    <x v="3"/>
    <n v="9"/>
    <n v="72942"/>
    <x v="38"/>
    <n v="15"/>
    <x v="5"/>
    <x v="3"/>
    <s v="Mumbai"/>
    <n v="558006.30000000005"/>
    <n v="91657.89"/>
    <x v="0"/>
    <x v="1"/>
  </r>
  <r>
    <n v="977"/>
    <s v="Arjun"/>
    <x v="3"/>
    <x v="4"/>
    <x v="10"/>
    <n v="4"/>
    <n v="77762"/>
    <x v="49"/>
    <n v="15"/>
    <x v="3"/>
    <x v="2"/>
    <s v="Pune"/>
    <n v="264390.8"/>
    <n v="25276.81"/>
    <x v="0"/>
    <x v="0"/>
  </r>
  <r>
    <n v="978"/>
    <s v="Sneha"/>
    <x v="3"/>
    <x v="3"/>
    <x v="12"/>
    <n v="4"/>
    <n v="7867"/>
    <x v="217"/>
    <n v="15"/>
    <x v="1"/>
    <x v="2"/>
    <s v="Ahmedabad"/>
    <n v="26747.8"/>
    <n v="6862.38"/>
    <x v="2"/>
    <x v="0"/>
  </r>
  <r>
    <n v="979"/>
    <s v="Priya"/>
    <x v="3"/>
    <x v="3"/>
    <x v="12"/>
    <n v="9"/>
    <n v="77898"/>
    <x v="525"/>
    <n v="15"/>
    <x v="3"/>
    <x v="0"/>
    <s v="Surat"/>
    <n v="595919.69999999995"/>
    <n v="50023.55"/>
    <x v="1"/>
    <x v="1"/>
  </r>
  <r>
    <n v="980"/>
    <s v="Neha"/>
    <x v="2"/>
    <x v="0"/>
    <x v="0"/>
    <n v="6"/>
    <n v="28973"/>
    <x v="295"/>
    <n v="5"/>
    <x v="5"/>
    <x v="0"/>
    <s v="Delhi"/>
    <n v="165146.1"/>
    <n v="15921.84"/>
    <x v="0"/>
    <x v="2"/>
  </r>
  <r>
    <n v="981"/>
    <s v="Neha"/>
    <x v="1"/>
    <x v="0"/>
    <x v="2"/>
    <n v="8"/>
    <n v="66130"/>
    <x v="347"/>
    <n v="0"/>
    <x v="5"/>
    <x v="2"/>
    <s v="Delhi"/>
    <n v="529040"/>
    <n v="133057.49"/>
    <x v="0"/>
    <x v="2"/>
  </r>
  <r>
    <n v="982"/>
    <s v="Neha"/>
    <x v="3"/>
    <x v="3"/>
    <x v="8"/>
    <n v="1"/>
    <n v="70076"/>
    <x v="305"/>
    <n v="5"/>
    <x v="2"/>
    <x v="3"/>
    <s v="Mumbai"/>
    <n v="66572.2"/>
    <n v="9836.74"/>
    <x v="1"/>
    <x v="1"/>
  </r>
  <r>
    <n v="983"/>
    <s v="Aman"/>
    <x v="2"/>
    <x v="2"/>
    <x v="3"/>
    <n v="6"/>
    <n v="18458"/>
    <x v="70"/>
    <n v="5"/>
    <x v="3"/>
    <x v="1"/>
    <s v="Surat"/>
    <n v="105210.6"/>
    <n v="31513.66"/>
    <x v="2"/>
    <x v="2"/>
  </r>
  <r>
    <n v="984"/>
    <s v="Pooja"/>
    <x v="1"/>
    <x v="4"/>
    <x v="10"/>
    <n v="10"/>
    <n v="79106"/>
    <x v="412"/>
    <n v="20"/>
    <x v="1"/>
    <x v="1"/>
    <s v="Surat"/>
    <n v="632848"/>
    <n v="188292.16"/>
    <x v="3"/>
    <x v="2"/>
  </r>
  <r>
    <n v="985"/>
    <s v="Rahul"/>
    <x v="3"/>
    <x v="2"/>
    <x v="5"/>
    <n v="10"/>
    <n v="59321"/>
    <x v="526"/>
    <n v="20"/>
    <x v="1"/>
    <x v="0"/>
    <s v="Bengaluru"/>
    <n v="474568"/>
    <n v="121124.51"/>
    <x v="1"/>
    <x v="2"/>
  </r>
  <r>
    <n v="986"/>
    <s v="Meera"/>
    <x v="1"/>
    <x v="2"/>
    <x v="3"/>
    <n v="4"/>
    <n v="31432"/>
    <x v="478"/>
    <n v="20"/>
    <x v="2"/>
    <x v="3"/>
    <s v="Ahmedabad"/>
    <n v="100582.39999999999"/>
    <n v="20283.45"/>
    <x v="2"/>
    <x v="2"/>
  </r>
  <r>
    <n v="987"/>
    <s v="Rohit"/>
    <x v="1"/>
    <x v="0"/>
    <x v="9"/>
    <n v="6"/>
    <n v="18896"/>
    <x v="65"/>
    <n v="20"/>
    <x v="1"/>
    <x v="2"/>
    <s v="Surat"/>
    <n v="90700.800000000003"/>
    <n v="8633.57"/>
    <x v="1"/>
    <x v="0"/>
  </r>
  <r>
    <n v="988"/>
    <s v="Rohit"/>
    <x v="2"/>
    <x v="1"/>
    <x v="4"/>
    <n v="2"/>
    <n v="23708"/>
    <x v="527"/>
    <n v="0"/>
    <x v="2"/>
    <x v="0"/>
    <s v="Ahmedabad"/>
    <n v="47416"/>
    <n v="7985.9"/>
    <x v="2"/>
    <x v="0"/>
  </r>
  <r>
    <n v="989"/>
    <s v="Neha"/>
    <x v="1"/>
    <x v="3"/>
    <x v="12"/>
    <n v="10"/>
    <n v="60256"/>
    <x v="528"/>
    <n v="10"/>
    <x v="1"/>
    <x v="2"/>
    <s v="Pune"/>
    <n v="542304"/>
    <n v="59265.65"/>
    <x v="1"/>
    <x v="1"/>
  </r>
  <r>
    <n v="990"/>
    <s v="Aman"/>
    <x v="0"/>
    <x v="4"/>
    <x v="11"/>
    <n v="7"/>
    <n v="54702"/>
    <x v="206"/>
    <n v="10"/>
    <x v="3"/>
    <x v="3"/>
    <s v="Surat"/>
    <n v="344622.6"/>
    <n v="30372.75"/>
    <x v="0"/>
    <x v="2"/>
  </r>
  <r>
    <n v="991"/>
    <s v="Karan"/>
    <x v="3"/>
    <x v="2"/>
    <x v="6"/>
    <n v="9"/>
    <n v="67648"/>
    <x v="529"/>
    <n v="10"/>
    <x v="2"/>
    <x v="0"/>
    <s v="Jaipur"/>
    <n v="547948.80000000005"/>
    <n v="88120.59"/>
    <x v="1"/>
    <x v="2"/>
  </r>
  <r>
    <n v="992"/>
    <s v="Anita"/>
    <x v="2"/>
    <x v="0"/>
    <x v="9"/>
    <n v="3"/>
    <n v="3929"/>
    <x v="517"/>
    <n v="15"/>
    <x v="1"/>
    <x v="3"/>
    <s v="Indore"/>
    <n v="10018.950000000001"/>
    <n v="2520.1799999999998"/>
    <x v="3"/>
    <x v="0"/>
  </r>
  <r>
    <n v="993"/>
    <s v="Karan"/>
    <x v="2"/>
    <x v="2"/>
    <x v="6"/>
    <n v="5"/>
    <n v="58008"/>
    <x v="530"/>
    <n v="0"/>
    <x v="0"/>
    <x v="1"/>
    <s v="Delhi"/>
    <n v="290040"/>
    <n v="72982.490000000005"/>
    <x v="0"/>
    <x v="0"/>
  </r>
  <r>
    <n v="994"/>
    <s v="Anita"/>
    <x v="0"/>
    <x v="4"/>
    <x v="13"/>
    <n v="7"/>
    <n v="65082"/>
    <x v="118"/>
    <n v="5"/>
    <x v="4"/>
    <x v="2"/>
    <s v="Ahmedabad"/>
    <n v="432795.3"/>
    <n v="36492.43"/>
    <x v="3"/>
    <x v="1"/>
  </r>
  <r>
    <n v="995"/>
    <s v="Rahul"/>
    <x v="0"/>
    <x v="1"/>
    <x v="14"/>
    <n v="4"/>
    <n v="38233"/>
    <x v="531"/>
    <n v="15"/>
    <x v="5"/>
    <x v="3"/>
    <s v="Surat"/>
    <n v="129992.2"/>
    <n v="38111.589999999997"/>
    <x v="2"/>
    <x v="0"/>
  </r>
  <r>
    <n v="996"/>
    <s v="Riya"/>
    <x v="0"/>
    <x v="0"/>
    <x v="2"/>
    <n v="1"/>
    <n v="70201"/>
    <x v="471"/>
    <n v="20"/>
    <x v="3"/>
    <x v="1"/>
    <s v="Indore"/>
    <n v="56160.800000000003"/>
    <n v="5293.33"/>
    <x v="3"/>
    <x v="0"/>
  </r>
  <r>
    <n v="997"/>
    <s v="Dev"/>
    <x v="0"/>
    <x v="4"/>
    <x v="13"/>
    <n v="4"/>
    <n v="70250"/>
    <x v="532"/>
    <n v="0"/>
    <x v="3"/>
    <x v="2"/>
    <s v="Mumbai"/>
    <n v="281000"/>
    <n v="67758.28"/>
    <x v="3"/>
    <x v="2"/>
  </r>
  <r>
    <n v="998"/>
    <s v="Rahul"/>
    <x v="0"/>
    <x v="0"/>
    <x v="2"/>
    <n v="7"/>
    <n v="62369"/>
    <x v="108"/>
    <n v="0"/>
    <x v="3"/>
    <x v="3"/>
    <s v="Indore"/>
    <n v="436583"/>
    <n v="93914.77"/>
    <x v="0"/>
    <x v="1"/>
  </r>
  <r>
    <n v="999"/>
    <s v="Sneha"/>
    <x v="3"/>
    <x v="4"/>
    <x v="11"/>
    <n v="4"/>
    <n v="68055"/>
    <x v="175"/>
    <n v="5"/>
    <x v="0"/>
    <x v="0"/>
    <s v="Jaipur"/>
    <n v="258609"/>
    <n v="27334.95"/>
    <x v="0"/>
    <x v="0"/>
  </r>
  <r>
    <n v="1000"/>
    <s v="Aman"/>
    <x v="3"/>
    <x v="4"/>
    <x v="13"/>
    <n v="9"/>
    <n v="71859"/>
    <x v="133"/>
    <n v="15"/>
    <x v="2"/>
    <x v="3"/>
    <s v="Surat"/>
    <n v="549721.35"/>
    <n v="143502.25"/>
    <x v="1"/>
    <x v="1"/>
  </r>
  <r>
    <n v="1001"/>
    <s v="Dev"/>
    <x v="0"/>
    <x v="3"/>
    <x v="8"/>
    <n v="2"/>
    <n v="21646"/>
    <x v="158"/>
    <n v="10"/>
    <x v="0"/>
    <x v="0"/>
    <s v="Pune"/>
    <n v="38962.800000000003"/>
    <n v="11461.13"/>
    <x v="1"/>
    <x v="1"/>
  </r>
  <r>
    <n v="1002"/>
    <s v="Rohit"/>
    <x v="2"/>
    <x v="2"/>
    <x v="5"/>
    <n v="10"/>
    <n v="71591"/>
    <x v="533"/>
    <n v="20"/>
    <x v="5"/>
    <x v="0"/>
    <s v="Surat"/>
    <n v="572728"/>
    <n v="83914.41"/>
    <x v="0"/>
    <x v="2"/>
  </r>
  <r>
    <n v="1003"/>
    <s v="Dev"/>
    <x v="3"/>
    <x v="1"/>
    <x v="14"/>
    <n v="2"/>
    <n v="31232"/>
    <x v="273"/>
    <n v="20"/>
    <x v="5"/>
    <x v="1"/>
    <s v="Surat"/>
    <n v="49971.199999999997"/>
    <n v="12506.53"/>
    <x v="3"/>
    <x v="1"/>
  </r>
  <r>
    <n v="1004"/>
    <s v="Neha"/>
    <x v="1"/>
    <x v="1"/>
    <x v="4"/>
    <n v="9"/>
    <n v="32946"/>
    <x v="534"/>
    <n v="15"/>
    <x v="4"/>
    <x v="1"/>
    <s v="Jaipur"/>
    <n v="252036.9"/>
    <n v="24255.55"/>
    <x v="2"/>
    <x v="1"/>
  </r>
  <r>
    <n v="1005"/>
    <s v="Dev"/>
    <x v="2"/>
    <x v="1"/>
    <x v="1"/>
    <n v="10"/>
    <n v="77460"/>
    <x v="535"/>
    <n v="0"/>
    <x v="0"/>
    <x v="3"/>
    <s v="Mumbai"/>
    <n v="774600"/>
    <n v="75499.490000000005"/>
    <x v="0"/>
    <x v="2"/>
  </r>
  <r>
    <n v="1006"/>
    <s v="Pooja"/>
    <x v="2"/>
    <x v="4"/>
    <x v="11"/>
    <n v="5"/>
    <n v="7008"/>
    <x v="536"/>
    <n v="0"/>
    <x v="5"/>
    <x v="1"/>
    <s v="Surat"/>
    <n v="35040"/>
    <n v="8714.5"/>
    <x v="1"/>
    <x v="1"/>
  </r>
  <r>
    <n v="1007"/>
    <s v="Meera"/>
    <x v="2"/>
    <x v="0"/>
    <x v="0"/>
    <n v="5"/>
    <n v="69830"/>
    <x v="537"/>
    <n v="15"/>
    <x v="2"/>
    <x v="3"/>
    <s v="Ahmedabad"/>
    <n v="296777.5"/>
    <n v="84700.35"/>
    <x v="1"/>
    <x v="1"/>
  </r>
  <r>
    <n v="1008"/>
    <s v="Vikas"/>
    <x v="3"/>
    <x v="1"/>
    <x v="1"/>
    <n v="9"/>
    <n v="19065"/>
    <x v="164"/>
    <n v="5"/>
    <x v="0"/>
    <x v="1"/>
    <s v="Surat"/>
    <n v="163005.75"/>
    <n v="35682.71"/>
    <x v="3"/>
    <x v="1"/>
  </r>
  <r>
    <n v="1009"/>
    <s v="Neha"/>
    <x v="0"/>
    <x v="4"/>
    <x v="11"/>
    <n v="1"/>
    <n v="50403"/>
    <x v="538"/>
    <n v="15"/>
    <x v="5"/>
    <x v="3"/>
    <s v="Bengaluru"/>
    <n v="42842.55"/>
    <n v="4688.55"/>
    <x v="3"/>
    <x v="1"/>
  </r>
  <r>
    <n v="1010"/>
    <s v="Dev"/>
    <x v="0"/>
    <x v="2"/>
    <x v="3"/>
    <n v="5"/>
    <n v="12797"/>
    <x v="431"/>
    <n v="20"/>
    <x v="5"/>
    <x v="0"/>
    <s v="Indore"/>
    <n v="51188"/>
    <n v="15010.79"/>
    <x v="0"/>
    <x v="0"/>
  </r>
  <r>
    <n v="1011"/>
    <s v="Vikas"/>
    <x v="3"/>
    <x v="2"/>
    <x v="3"/>
    <n v="1"/>
    <n v="51363"/>
    <x v="502"/>
    <n v="5"/>
    <x v="2"/>
    <x v="3"/>
    <s v="Pune"/>
    <n v="48794.85"/>
    <n v="12215.17"/>
    <x v="0"/>
    <x v="0"/>
  </r>
  <r>
    <n v="1012"/>
    <s v="Rohit"/>
    <x v="3"/>
    <x v="3"/>
    <x v="15"/>
    <n v="6"/>
    <n v="6056"/>
    <x v="205"/>
    <n v="15"/>
    <x v="1"/>
    <x v="0"/>
    <s v="Surat"/>
    <n v="30885.599999999999"/>
    <n v="3187.37"/>
    <x v="1"/>
    <x v="1"/>
  </r>
  <r>
    <n v="1013"/>
    <s v="Meera"/>
    <x v="3"/>
    <x v="1"/>
    <x v="1"/>
    <n v="10"/>
    <n v="23753"/>
    <x v="299"/>
    <n v="20"/>
    <x v="2"/>
    <x v="2"/>
    <s v="Bengaluru"/>
    <n v="190024"/>
    <n v="55261.9"/>
    <x v="2"/>
    <x v="0"/>
  </r>
  <r>
    <n v="1014"/>
    <s v="Rohit"/>
    <x v="1"/>
    <x v="0"/>
    <x v="7"/>
    <n v="1"/>
    <n v="48860"/>
    <x v="345"/>
    <n v="20"/>
    <x v="3"/>
    <x v="1"/>
    <s v="Surat"/>
    <n v="39088"/>
    <n v="4989.2"/>
    <x v="1"/>
    <x v="0"/>
  </r>
  <r>
    <n v="1015"/>
    <s v="Aman"/>
    <x v="0"/>
    <x v="2"/>
    <x v="3"/>
    <n v="6"/>
    <n v="44894"/>
    <x v="77"/>
    <n v="20"/>
    <x v="2"/>
    <x v="2"/>
    <s v="Surat"/>
    <n v="215491.20000000001"/>
    <n v="19523.599999999999"/>
    <x v="3"/>
    <x v="1"/>
  </r>
  <r>
    <n v="1016"/>
    <s v="Isha"/>
    <x v="3"/>
    <x v="0"/>
    <x v="9"/>
    <n v="1"/>
    <n v="45012"/>
    <x v="245"/>
    <n v="5"/>
    <x v="2"/>
    <x v="3"/>
    <s v="Ahmedabad"/>
    <n v="42761.4"/>
    <n v="12223.74"/>
    <x v="1"/>
    <x v="0"/>
  </r>
  <r>
    <n v="1017"/>
    <s v="Anita"/>
    <x v="3"/>
    <x v="4"/>
    <x v="10"/>
    <n v="1"/>
    <n v="9307"/>
    <x v="464"/>
    <n v="0"/>
    <x v="5"/>
    <x v="1"/>
    <s v="Surat"/>
    <n v="9307"/>
    <n v="2751.95"/>
    <x v="0"/>
    <x v="2"/>
  </r>
  <r>
    <n v="1018"/>
    <s v="Pooja"/>
    <x v="2"/>
    <x v="4"/>
    <x v="13"/>
    <n v="3"/>
    <n v="72064"/>
    <x v="466"/>
    <n v="0"/>
    <x v="0"/>
    <x v="3"/>
    <s v="Jaipur"/>
    <n v="216192"/>
    <n v="25239.27"/>
    <x v="2"/>
    <x v="2"/>
  </r>
  <r>
    <n v="1019"/>
    <s v="Rohit"/>
    <x v="3"/>
    <x v="4"/>
    <x v="13"/>
    <n v="4"/>
    <n v="24222"/>
    <x v="342"/>
    <n v="10"/>
    <x v="3"/>
    <x v="2"/>
    <s v="Ahmedabad"/>
    <n v="87199.2"/>
    <n v="19188.23"/>
    <x v="1"/>
    <x v="1"/>
  </r>
  <r>
    <n v="1020"/>
    <s v="Karan"/>
    <x v="3"/>
    <x v="2"/>
    <x v="6"/>
    <n v="1"/>
    <n v="31962"/>
    <x v="539"/>
    <n v="10"/>
    <x v="4"/>
    <x v="0"/>
    <s v="Pune"/>
    <n v="28765.8"/>
    <n v="5892.2"/>
    <x v="1"/>
    <x v="1"/>
  </r>
  <r>
    <n v="1021"/>
    <s v="Vikas"/>
    <x v="1"/>
    <x v="4"/>
    <x v="11"/>
    <n v="4"/>
    <n v="6632"/>
    <x v="125"/>
    <n v="0"/>
    <x v="5"/>
    <x v="0"/>
    <s v="Surat"/>
    <n v="26528"/>
    <n v="5802.05"/>
    <x v="3"/>
    <x v="2"/>
  </r>
  <r>
    <n v="1022"/>
    <s v="Aman"/>
    <x v="0"/>
    <x v="2"/>
    <x v="3"/>
    <n v="5"/>
    <n v="39732"/>
    <x v="540"/>
    <n v="10"/>
    <x v="4"/>
    <x v="3"/>
    <s v="Delhi"/>
    <n v="178794"/>
    <n v="45924.67"/>
    <x v="3"/>
    <x v="1"/>
  </r>
  <r>
    <n v="1023"/>
    <s v="Riya"/>
    <x v="0"/>
    <x v="1"/>
    <x v="4"/>
    <n v="2"/>
    <n v="19616"/>
    <x v="461"/>
    <n v="5"/>
    <x v="4"/>
    <x v="1"/>
    <s v="Surat"/>
    <n v="37270.400000000001"/>
    <n v="8832.2900000000009"/>
    <x v="3"/>
    <x v="2"/>
  </r>
  <r>
    <n v="1024"/>
    <s v="Aman"/>
    <x v="2"/>
    <x v="2"/>
    <x v="5"/>
    <n v="8"/>
    <n v="55281"/>
    <x v="239"/>
    <n v="10"/>
    <x v="0"/>
    <x v="2"/>
    <s v="Indore"/>
    <n v="398023.2"/>
    <n v="111860.02"/>
    <x v="3"/>
    <x v="0"/>
  </r>
  <r>
    <n v="1025"/>
    <s v="Karan"/>
    <x v="3"/>
    <x v="4"/>
    <x v="13"/>
    <n v="9"/>
    <n v="46610"/>
    <x v="541"/>
    <n v="0"/>
    <x v="2"/>
    <x v="1"/>
    <s v="Pune"/>
    <n v="419490"/>
    <n v="97101.08"/>
    <x v="2"/>
    <x v="0"/>
  </r>
  <r>
    <n v="1026"/>
    <s v="Sneha"/>
    <x v="2"/>
    <x v="2"/>
    <x v="3"/>
    <n v="2"/>
    <n v="25428"/>
    <x v="366"/>
    <n v="10"/>
    <x v="4"/>
    <x v="3"/>
    <s v="Surat"/>
    <n v="45770.400000000001"/>
    <n v="13055.37"/>
    <x v="3"/>
    <x v="1"/>
  </r>
  <r>
    <n v="1027"/>
    <s v="Rahul"/>
    <x v="1"/>
    <x v="3"/>
    <x v="12"/>
    <n v="3"/>
    <n v="37419"/>
    <x v="106"/>
    <n v="0"/>
    <x v="4"/>
    <x v="0"/>
    <s v="Pune"/>
    <n v="112257"/>
    <n v="25406.13"/>
    <x v="3"/>
    <x v="2"/>
  </r>
  <r>
    <n v="1028"/>
    <s v="Karan"/>
    <x v="0"/>
    <x v="1"/>
    <x v="1"/>
    <n v="3"/>
    <n v="19279"/>
    <x v="22"/>
    <n v="15"/>
    <x v="4"/>
    <x v="1"/>
    <s v="Jaipur"/>
    <n v="49161.45"/>
    <n v="4133.51"/>
    <x v="2"/>
    <x v="0"/>
  </r>
  <r>
    <n v="1029"/>
    <s v="Arjun"/>
    <x v="3"/>
    <x v="3"/>
    <x v="12"/>
    <n v="8"/>
    <n v="52436"/>
    <x v="292"/>
    <n v="10"/>
    <x v="4"/>
    <x v="1"/>
    <s v="Bengaluru"/>
    <n v="377539.2"/>
    <n v="47244.12"/>
    <x v="1"/>
    <x v="2"/>
  </r>
  <r>
    <n v="1030"/>
    <s v="Sneha"/>
    <x v="3"/>
    <x v="1"/>
    <x v="14"/>
    <n v="8"/>
    <n v="66131"/>
    <x v="327"/>
    <n v="0"/>
    <x v="3"/>
    <x v="0"/>
    <s v="Ahmedabad"/>
    <n v="529048"/>
    <n v="117691.46"/>
    <x v="1"/>
    <x v="2"/>
  </r>
  <r>
    <n v="1031"/>
    <s v="Pooja"/>
    <x v="1"/>
    <x v="3"/>
    <x v="12"/>
    <n v="1"/>
    <n v="54921"/>
    <x v="239"/>
    <n v="20"/>
    <x v="0"/>
    <x v="3"/>
    <s v="Delhi"/>
    <n v="43936.800000000003"/>
    <n v="4353.99"/>
    <x v="1"/>
    <x v="1"/>
  </r>
  <r>
    <n v="1032"/>
    <s v="Sneha"/>
    <x v="0"/>
    <x v="2"/>
    <x v="5"/>
    <n v="2"/>
    <n v="63370"/>
    <x v="272"/>
    <n v="10"/>
    <x v="3"/>
    <x v="3"/>
    <s v="Indore"/>
    <n v="114066"/>
    <n v="22076.7"/>
    <x v="3"/>
    <x v="2"/>
  </r>
  <r>
    <n v="1033"/>
    <s v="Sneha"/>
    <x v="0"/>
    <x v="2"/>
    <x v="3"/>
    <n v="7"/>
    <n v="62105"/>
    <x v="217"/>
    <n v="5"/>
    <x v="2"/>
    <x v="0"/>
    <s v="Bengaluru"/>
    <n v="412998.25"/>
    <n v="44909.34"/>
    <x v="0"/>
    <x v="0"/>
  </r>
  <r>
    <n v="1034"/>
    <s v="Karan"/>
    <x v="0"/>
    <x v="3"/>
    <x v="8"/>
    <n v="9"/>
    <n v="49512"/>
    <x v="542"/>
    <n v="20"/>
    <x v="4"/>
    <x v="0"/>
    <s v="Delhi"/>
    <n v="356486.40000000002"/>
    <n v="59909.88"/>
    <x v="0"/>
    <x v="2"/>
  </r>
  <r>
    <n v="1035"/>
    <s v="Dev"/>
    <x v="3"/>
    <x v="3"/>
    <x v="12"/>
    <n v="10"/>
    <n v="74987"/>
    <x v="526"/>
    <n v="20"/>
    <x v="1"/>
    <x v="1"/>
    <s v="Mumbai"/>
    <n v="599896"/>
    <n v="115877.64"/>
    <x v="3"/>
    <x v="1"/>
  </r>
  <r>
    <n v="1036"/>
    <s v="Riya"/>
    <x v="0"/>
    <x v="1"/>
    <x v="14"/>
    <n v="7"/>
    <n v="8264"/>
    <x v="71"/>
    <n v="15"/>
    <x v="0"/>
    <x v="3"/>
    <s v="Surat"/>
    <n v="49170.8"/>
    <n v="11997.65"/>
    <x v="2"/>
    <x v="0"/>
  </r>
  <r>
    <n v="1037"/>
    <s v="Rahul"/>
    <x v="0"/>
    <x v="4"/>
    <x v="10"/>
    <n v="3"/>
    <n v="55309"/>
    <x v="543"/>
    <n v="20"/>
    <x v="4"/>
    <x v="3"/>
    <s v="Mumbai"/>
    <n v="132741.6"/>
    <n v="28199.08"/>
    <x v="0"/>
    <x v="0"/>
  </r>
  <r>
    <n v="1038"/>
    <s v="Rohit"/>
    <x v="2"/>
    <x v="1"/>
    <x v="14"/>
    <n v="7"/>
    <n v="56709"/>
    <x v="165"/>
    <n v="0"/>
    <x v="5"/>
    <x v="0"/>
    <s v="Delhi"/>
    <n v="396963"/>
    <n v="92475.33"/>
    <x v="2"/>
    <x v="1"/>
  </r>
  <r>
    <n v="1039"/>
    <s v="Priya"/>
    <x v="1"/>
    <x v="3"/>
    <x v="12"/>
    <n v="7"/>
    <n v="60855"/>
    <x v="352"/>
    <n v="15"/>
    <x v="4"/>
    <x v="1"/>
    <s v="Indore"/>
    <n v="362087.25"/>
    <n v="50220.71"/>
    <x v="2"/>
    <x v="1"/>
  </r>
  <r>
    <n v="1040"/>
    <s v="Vikas"/>
    <x v="1"/>
    <x v="0"/>
    <x v="0"/>
    <n v="4"/>
    <n v="47143"/>
    <x v="544"/>
    <n v="15"/>
    <x v="1"/>
    <x v="1"/>
    <s v="Pune"/>
    <n v="160286.20000000001"/>
    <n v="32664.39"/>
    <x v="2"/>
    <x v="0"/>
  </r>
  <r>
    <n v="1041"/>
    <s v="Aman"/>
    <x v="2"/>
    <x v="1"/>
    <x v="14"/>
    <n v="4"/>
    <n v="11570"/>
    <x v="545"/>
    <n v="20"/>
    <x v="2"/>
    <x v="2"/>
    <s v="Bengaluru"/>
    <n v="37024"/>
    <n v="3810.26"/>
    <x v="0"/>
    <x v="0"/>
  </r>
  <r>
    <n v="1042"/>
    <s v="Rahul"/>
    <x v="1"/>
    <x v="2"/>
    <x v="5"/>
    <n v="10"/>
    <n v="42871"/>
    <x v="399"/>
    <n v="0"/>
    <x v="5"/>
    <x v="2"/>
    <s v="Ahmedabad"/>
    <n v="428710"/>
    <n v="121840.31"/>
    <x v="1"/>
    <x v="1"/>
  </r>
  <r>
    <n v="1043"/>
    <s v="Arjun"/>
    <x v="1"/>
    <x v="4"/>
    <x v="11"/>
    <n v="1"/>
    <n v="36405"/>
    <x v="546"/>
    <n v="20"/>
    <x v="1"/>
    <x v="2"/>
    <s v="Delhi"/>
    <n v="29124"/>
    <n v="8247.5499999999993"/>
    <x v="3"/>
    <x v="2"/>
  </r>
  <r>
    <n v="1044"/>
    <s v="Meera"/>
    <x v="3"/>
    <x v="1"/>
    <x v="1"/>
    <n v="5"/>
    <n v="36050"/>
    <x v="384"/>
    <n v="15"/>
    <x v="0"/>
    <x v="0"/>
    <s v="Ahmedabad"/>
    <n v="153212.5"/>
    <n v="26708.3"/>
    <x v="0"/>
    <x v="0"/>
  </r>
  <r>
    <n v="1045"/>
    <s v="Meera"/>
    <x v="3"/>
    <x v="0"/>
    <x v="0"/>
    <n v="1"/>
    <n v="42692"/>
    <x v="395"/>
    <n v="5"/>
    <x v="1"/>
    <x v="1"/>
    <s v="Indore"/>
    <n v="40557.4"/>
    <n v="6267.59"/>
    <x v="3"/>
    <x v="0"/>
  </r>
  <r>
    <n v="1046"/>
    <s v="Arjun"/>
    <x v="1"/>
    <x v="2"/>
    <x v="5"/>
    <n v="7"/>
    <n v="60077"/>
    <x v="84"/>
    <n v="0"/>
    <x v="2"/>
    <x v="3"/>
    <s v="Delhi"/>
    <n v="420539"/>
    <n v="118507.82"/>
    <x v="0"/>
    <x v="0"/>
  </r>
  <r>
    <n v="1047"/>
    <s v="Anita"/>
    <x v="2"/>
    <x v="2"/>
    <x v="6"/>
    <n v="3"/>
    <n v="42309"/>
    <x v="545"/>
    <n v="5"/>
    <x v="2"/>
    <x v="1"/>
    <s v="Indore"/>
    <n v="120580.65"/>
    <n v="22956.14"/>
    <x v="0"/>
    <x v="1"/>
  </r>
  <r>
    <n v="1048"/>
    <s v="Rahul"/>
    <x v="0"/>
    <x v="3"/>
    <x v="8"/>
    <n v="9"/>
    <n v="7060"/>
    <x v="280"/>
    <n v="10"/>
    <x v="2"/>
    <x v="1"/>
    <s v="Surat"/>
    <n v="57186"/>
    <n v="17015.09"/>
    <x v="2"/>
    <x v="2"/>
  </r>
  <r>
    <n v="1049"/>
    <s v="Vikas"/>
    <x v="3"/>
    <x v="4"/>
    <x v="11"/>
    <n v="10"/>
    <n v="35233"/>
    <x v="490"/>
    <n v="15"/>
    <x v="4"/>
    <x v="2"/>
    <s v="Surat"/>
    <n v="299480.5"/>
    <n v="80194.759999999995"/>
    <x v="0"/>
    <x v="0"/>
  </r>
  <r>
    <n v="1050"/>
    <s v="Arjun"/>
    <x v="2"/>
    <x v="2"/>
    <x v="5"/>
    <n v="1"/>
    <n v="38743"/>
    <x v="122"/>
    <n v="10"/>
    <x v="3"/>
    <x v="0"/>
    <s v="Ahmedabad"/>
    <n v="34868.699999999997"/>
    <n v="7009.12"/>
    <x v="0"/>
    <x v="0"/>
  </r>
  <r>
    <n v="1051"/>
    <s v="Neha"/>
    <x v="3"/>
    <x v="3"/>
    <x v="8"/>
    <n v="8"/>
    <n v="77775"/>
    <x v="437"/>
    <n v="15"/>
    <x v="1"/>
    <x v="2"/>
    <s v="Jaipur"/>
    <n v="528870"/>
    <n v="65114.87"/>
    <x v="0"/>
    <x v="2"/>
  </r>
  <r>
    <n v="1052"/>
    <s v="Karan"/>
    <x v="1"/>
    <x v="2"/>
    <x v="5"/>
    <n v="3"/>
    <n v="24885"/>
    <x v="224"/>
    <n v="5"/>
    <x v="3"/>
    <x v="3"/>
    <s v="Bengaluru"/>
    <n v="70922.25"/>
    <n v="14924.18"/>
    <x v="1"/>
    <x v="2"/>
  </r>
  <r>
    <n v="1053"/>
    <s v="Neha"/>
    <x v="3"/>
    <x v="1"/>
    <x v="4"/>
    <n v="9"/>
    <n v="23603"/>
    <x v="395"/>
    <n v="5"/>
    <x v="5"/>
    <x v="2"/>
    <s v="Pune"/>
    <n v="201805.65"/>
    <n v="17529.11"/>
    <x v="3"/>
    <x v="1"/>
  </r>
  <r>
    <n v="1054"/>
    <s v="Meera"/>
    <x v="2"/>
    <x v="2"/>
    <x v="5"/>
    <n v="2"/>
    <n v="60707"/>
    <x v="547"/>
    <n v="10"/>
    <x v="2"/>
    <x v="1"/>
    <s v="Delhi"/>
    <n v="109272.6"/>
    <n v="32178.36"/>
    <x v="0"/>
    <x v="1"/>
  </r>
  <r>
    <n v="1055"/>
    <s v="Arjun"/>
    <x v="0"/>
    <x v="3"/>
    <x v="15"/>
    <n v="10"/>
    <n v="61626"/>
    <x v="548"/>
    <n v="10"/>
    <x v="0"/>
    <x v="2"/>
    <s v="Indore"/>
    <n v="554634"/>
    <n v="62439.44"/>
    <x v="3"/>
    <x v="0"/>
  </r>
  <r>
    <n v="1056"/>
    <s v="Pooja"/>
    <x v="3"/>
    <x v="2"/>
    <x v="5"/>
    <n v="10"/>
    <n v="70842"/>
    <x v="118"/>
    <n v="10"/>
    <x v="4"/>
    <x v="3"/>
    <s v="Ahmedabad"/>
    <n v="637578"/>
    <n v="67006.679999999993"/>
    <x v="3"/>
    <x v="0"/>
  </r>
  <r>
    <n v="1057"/>
    <s v="Arjun"/>
    <x v="2"/>
    <x v="1"/>
    <x v="4"/>
    <n v="2"/>
    <n v="59878"/>
    <x v="501"/>
    <n v="15"/>
    <x v="2"/>
    <x v="1"/>
    <s v="Pune"/>
    <n v="101792.6"/>
    <n v="28879.52"/>
    <x v="1"/>
    <x v="0"/>
  </r>
  <r>
    <n v="1058"/>
    <s v="Dev"/>
    <x v="3"/>
    <x v="1"/>
    <x v="4"/>
    <n v="6"/>
    <n v="62148"/>
    <x v="48"/>
    <n v="10"/>
    <x v="1"/>
    <x v="1"/>
    <s v="Jaipur"/>
    <n v="335599.2"/>
    <n v="31155.38"/>
    <x v="0"/>
    <x v="1"/>
  </r>
  <r>
    <n v="1059"/>
    <s v="Anita"/>
    <x v="3"/>
    <x v="3"/>
    <x v="15"/>
    <n v="4"/>
    <n v="51921"/>
    <x v="87"/>
    <n v="0"/>
    <x v="5"/>
    <x v="0"/>
    <s v="Mumbai"/>
    <n v="207684"/>
    <n v="41302.230000000003"/>
    <x v="3"/>
    <x v="0"/>
  </r>
  <r>
    <n v="1060"/>
    <s v="Isha"/>
    <x v="1"/>
    <x v="3"/>
    <x v="15"/>
    <n v="9"/>
    <n v="12565"/>
    <x v="236"/>
    <n v="0"/>
    <x v="5"/>
    <x v="2"/>
    <s v="Mumbai"/>
    <n v="113085"/>
    <n v="17503.84"/>
    <x v="3"/>
    <x v="0"/>
  </r>
  <r>
    <n v="1061"/>
    <s v="Rahul"/>
    <x v="1"/>
    <x v="0"/>
    <x v="7"/>
    <n v="8"/>
    <n v="68706"/>
    <x v="549"/>
    <n v="5"/>
    <x v="3"/>
    <x v="0"/>
    <s v="Ahmedabad"/>
    <n v="522165.6"/>
    <n v="93345.09"/>
    <x v="2"/>
    <x v="1"/>
  </r>
  <r>
    <n v="1062"/>
    <s v="Priya"/>
    <x v="0"/>
    <x v="3"/>
    <x v="15"/>
    <n v="4"/>
    <n v="4510"/>
    <x v="60"/>
    <n v="20"/>
    <x v="4"/>
    <x v="0"/>
    <s v="Surat"/>
    <n v="14432"/>
    <n v="3549.7"/>
    <x v="2"/>
    <x v="0"/>
  </r>
  <r>
    <n v="1063"/>
    <s v="Rohit"/>
    <x v="3"/>
    <x v="3"/>
    <x v="12"/>
    <n v="1"/>
    <n v="3781"/>
    <x v="435"/>
    <n v="5"/>
    <x v="4"/>
    <x v="0"/>
    <s v="Delhi"/>
    <n v="3591.95"/>
    <n v="360.92"/>
    <x v="3"/>
    <x v="2"/>
  </r>
  <r>
    <n v="1064"/>
    <s v="Rahul"/>
    <x v="2"/>
    <x v="4"/>
    <x v="11"/>
    <n v="10"/>
    <n v="15295"/>
    <x v="550"/>
    <n v="20"/>
    <x v="4"/>
    <x v="1"/>
    <s v="Delhi"/>
    <n v="122360"/>
    <n v="11255.62"/>
    <x v="3"/>
    <x v="2"/>
  </r>
  <r>
    <n v="1065"/>
    <s v="Aman"/>
    <x v="3"/>
    <x v="1"/>
    <x v="1"/>
    <n v="4"/>
    <n v="18785"/>
    <x v="456"/>
    <n v="10"/>
    <x v="5"/>
    <x v="1"/>
    <s v="Surat"/>
    <n v="67626"/>
    <n v="15251.42"/>
    <x v="1"/>
    <x v="0"/>
  </r>
  <r>
    <n v="1066"/>
    <s v="Anita"/>
    <x v="2"/>
    <x v="3"/>
    <x v="15"/>
    <n v="1"/>
    <n v="77211"/>
    <x v="551"/>
    <n v="5"/>
    <x v="2"/>
    <x v="2"/>
    <s v="Pune"/>
    <n v="73350.45"/>
    <n v="9092.42"/>
    <x v="1"/>
    <x v="0"/>
  </r>
  <r>
    <n v="1067"/>
    <s v="Arjun"/>
    <x v="3"/>
    <x v="4"/>
    <x v="13"/>
    <n v="6"/>
    <n v="24624"/>
    <x v="288"/>
    <n v="5"/>
    <x v="1"/>
    <x v="2"/>
    <s v="Pune"/>
    <n v="140356.79999999999"/>
    <n v="22862.87"/>
    <x v="1"/>
    <x v="1"/>
  </r>
  <r>
    <n v="1068"/>
    <s v="Aman"/>
    <x v="3"/>
    <x v="3"/>
    <x v="15"/>
    <n v="6"/>
    <n v="32327"/>
    <x v="298"/>
    <n v="5"/>
    <x v="5"/>
    <x v="0"/>
    <s v="Pune"/>
    <n v="184263.9"/>
    <n v="43600.78"/>
    <x v="3"/>
    <x v="1"/>
  </r>
  <r>
    <n v="1069"/>
    <s v="Riya"/>
    <x v="3"/>
    <x v="4"/>
    <x v="13"/>
    <n v="9"/>
    <n v="58739"/>
    <x v="552"/>
    <n v="0"/>
    <x v="2"/>
    <x v="0"/>
    <s v="Surat"/>
    <n v="528651"/>
    <n v="96440.51"/>
    <x v="3"/>
    <x v="0"/>
  </r>
  <r>
    <n v="1070"/>
    <s v="Rohit"/>
    <x v="3"/>
    <x v="1"/>
    <x v="14"/>
    <n v="10"/>
    <n v="19188"/>
    <x v="553"/>
    <n v="20"/>
    <x v="2"/>
    <x v="0"/>
    <s v="Bengaluru"/>
    <n v="153504"/>
    <n v="44834.21"/>
    <x v="1"/>
    <x v="0"/>
  </r>
  <r>
    <n v="1071"/>
    <s v="Rahul"/>
    <x v="1"/>
    <x v="3"/>
    <x v="12"/>
    <n v="4"/>
    <n v="37631"/>
    <x v="37"/>
    <n v="0"/>
    <x v="2"/>
    <x v="3"/>
    <s v="Delhi"/>
    <n v="150524"/>
    <n v="44510.81"/>
    <x v="1"/>
    <x v="0"/>
  </r>
  <r>
    <n v="1072"/>
    <s v="Neha"/>
    <x v="1"/>
    <x v="3"/>
    <x v="8"/>
    <n v="3"/>
    <n v="2407"/>
    <x v="57"/>
    <n v="0"/>
    <x v="2"/>
    <x v="3"/>
    <s v="Delhi"/>
    <n v="7221"/>
    <n v="1017.94"/>
    <x v="3"/>
    <x v="0"/>
  </r>
  <r>
    <n v="1073"/>
    <s v="Dev"/>
    <x v="1"/>
    <x v="1"/>
    <x v="14"/>
    <n v="5"/>
    <n v="24446"/>
    <x v="115"/>
    <n v="5"/>
    <x v="4"/>
    <x v="0"/>
    <s v="Mumbai"/>
    <n v="116118.5"/>
    <n v="28173.040000000001"/>
    <x v="2"/>
    <x v="1"/>
  </r>
  <r>
    <n v="1074"/>
    <s v="Pooja"/>
    <x v="1"/>
    <x v="3"/>
    <x v="15"/>
    <n v="3"/>
    <n v="55549"/>
    <x v="554"/>
    <n v="15"/>
    <x v="4"/>
    <x v="3"/>
    <s v="Surat"/>
    <n v="141649.95000000001"/>
    <n v="30729.38"/>
    <x v="1"/>
    <x v="2"/>
  </r>
  <r>
    <n v="1075"/>
    <s v="Rohit"/>
    <x v="0"/>
    <x v="0"/>
    <x v="2"/>
    <n v="10"/>
    <n v="69955"/>
    <x v="195"/>
    <n v="20"/>
    <x v="2"/>
    <x v="2"/>
    <s v="Surat"/>
    <n v="559640"/>
    <n v="127981.59"/>
    <x v="2"/>
    <x v="0"/>
  </r>
  <r>
    <n v="1076"/>
    <s v="Sneha"/>
    <x v="0"/>
    <x v="4"/>
    <x v="13"/>
    <n v="2"/>
    <n v="31979"/>
    <x v="333"/>
    <n v="20"/>
    <x v="1"/>
    <x v="0"/>
    <s v="Indore"/>
    <n v="51166.400000000001"/>
    <n v="9156.1299999999992"/>
    <x v="2"/>
    <x v="2"/>
  </r>
  <r>
    <n v="1077"/>
    <s v="Anita"/>
    <x v="2"/>
    <x v="1"/>
    <x v="14"/>
    <n v="4"/>
    <n v="5156"/>
    <x v="555"/>
    <n v="15"/>
    <x v="0"/>
    <x v="2"/>
    <s v="Surat"/>
    <n v="17530.400000000001"/>
    <n v="4712.53"/>
    <x v="0"/>
    <x v="1"/>
  </r>
  <r>
    <n v="1078"/>
    <s v="Rahul"/>
    <x v="2"/>
    <x v="3"/>
    <x v="15"/>
    <n v="5"/>
    <n v="11834"/>
    <x v="135"/>
    <n v="5"/>
    <x v="5"/>
    <x v="1"/>
    <s v="Mumbai"/>
    <n v="56211.5"/>
    <n v="10876.53"/>
    <x v="0"/>
    <x v="0"/>
  </r>
  <r>
    <n v="1079"/>
    <s v="Isha"/>
    <x v="1"/>
    <x v="1"/>
    <x v="4"/>
    <n v="9"/>
    <n v="16955"/>
    <x v="556"/>
    <n v="0"/>
    <x v="0"/>
    <x v="1"/>
    <s v="Surat"/>
    <n v="152595"/>
    <n v="17012.900000000001"/>
    <x v="0"/>
    <x v="1"/>
  </r>
  <r>
    <n v="1080"/>
    <s v="Karan"/>
    <x v="1"/>
    <x v="3"/>
    <x v="12"/>
    <n v="9"/>
    <n v="13071"/>
    <x v="557"/>
    <n v="20"/>
    <x v="4"/>
    <x v="0"/>
    <s v="Bengaluru"/>
    <n v="94111.2"/>
    <n v="21534.31"/>
    <x v="2"/>
    <x v="2"/>
  </r>
  <r>
    <n v="1081"/>
    <s v="Arjun"/>
    <x v="2"/>
    <x v="0"/>
    <x v="2"/>
    <n v="5"/>
    <n v="71643"/>
    <x v="558"/>
    <n v="5"/>
    <x v="5"/>
    <x v="1"/>
    <s v="Ahmedabad"/>
    <n v="340304.25"/>
    <n v="33390.74"/>
    <x v="0"/>
    <x v="2"/>
  </r>
  <r>
    <n v="1082"/>
    <s v="Isha"/>
    <x v="3"/>
    <x v="4"/>
    <x v="10"/>
    <n v="7"/>
    <n v="22164"/>
    <x v="443"/>
    <n v="10"/>
    <x v="0"/>
    <x v="1"/>
    <s v="Indore"/>
    <n v="139633.20000000001"/>
    <n v="25111.38"/>
    <x v="3"/>
    <x v="1"/>
  </r>
  <r>
    <n v="1083"/>
    <s v="Aman"/>
    <x v="0"/>
    <x v="0"/>
    <x v="7"/>
    <n v="2"/>
    <n v="12040"/>
    <x v="285"/>
    <n v="0"/>
    <x v="1"/>
    <x v="2"/>
    <s v="Surat"/>
    <n v="24080"/>
    <n v="2944.09"/>
    <x v="2"/>
    <x v="0"/>
  </r>
  <r>
    <n v="1084"/>
    <s v="Isha"/>
    <x v="3"/>
    <x v="3"/>
    <x v="12"/>
    <n v="10"/>
    <n v="77944"/>
    <x v="515"/>
    <n v="15"/>
    <x v="0"/>
    <x v="0"/>
    <s v="Jaipur"/>
    <n v="662524"/>
    <n v="144352.10999999999"/>
    <x v="3"/>
    <x v="0"/>
  </r>
  <r>
    <n v="1085"/>
    <s v="Riya"/>
    <x v="0"/>
    <x v="3"/>
    <x v="8"/>
    <n v="8"/>
    <n v="20306"/>
    <x v="559"/>
    <n v="20"/>
    <x v="4"/>
    <x v="1"/>
    <s v="Bengaluru"/>
    <n v="129958.39999999999"/>
    <n v="27411.99"/>
    <x v="0"/>
    <x v="2"/>
  </r>
  <r>
    <n v="1086"/>
    <s v="Arjun"/>
    <x v="1"/>
    <x v="0"/>
    <x v="2"/>
    <n v="10"/>
    <n v="29404"/>
    <x v="348"/>
    <n v="15"/>
    <x v="1"/>
    <x v="3"/>
    <s v="Indore"/>
    <n v="249934"/>
    <n v="67931.3"/>
    <x v="3"/>
    <x v="1"/>
  </r>
  <r>
    <n v="1087"/>
    <s v="Rohit"/>
    <x v="3"/>
    <x v="0"/>
    <x v="2"/>
    <n v="5"/>
    <n v="33600"/>
    <x v="320"/>
    <n v="20"/>
    <x v="5"/>
    <x v="3"/>
    <s v="Delhi"/>
    <n v="134400"/>
    <n v="21645.61"/>
    <x v="0"/>
    <x v="2"/>
  </r>
  <r>
    <n v="1088"/>
    <s v="Riya"/>
    <x v="3"/>
    <x v="3"/>
    <x v="15"/>
    <n v="7"/>
    <n v="56198"/>
    <x v="134"/>
    <n v="15"/>
    <x v="2"/>
    <x v="3"/>
    <s v="Ahmedabad"/>
    <n v="334378.09999999998"/>
    <n v="69019.009999999995"/>
    <x v="3"/>
    <x v="1"/>
  </r>
  <r>
    <n v="1089"/>
    <s v="Karan"/>
    <x v="3"/>
    <x v="3"/>
    <x v="15"/>
    <n v="3"/>
    <n v="42782"/>
    <x v="560"/>
    <n v="0"/>
    <x v="4"/>
    <x v="3"/>
    <s v="Surat"/>
    <n v="128346"/>
    <n v="29429.29"/>
    <x v="1"/>
    <x v="1"/>
  </r>
  <r>
    <n v="1090"/>
    <s v="Arjun"/>
    <x v="1"/>
    <x v="1"/>
    <x v="14"/>
    <n v="1"/>
    <n v="21442"/>
    <x v="411"/>
    <n v="15"/>
    <x v="3"/>
    <x v="2"/>
    <s v="Surat"/>
    <n v="18225.7"/>
    <n v="5261.36"/>
    <x v="1"/>
    <x v="0"/>
  </r>
  <r>
    <n v="1091"/>
    <s v="Vikas"/>
    <x v="0"/>
    <x v="0"/>
    <x v="7"/>
    <n v="5"/>
    <n v="34111"/>
    <x v="561"/>
    <n v="5"/>
    <x v="1"/>
    <x v="3"/>
    <s v="Pune"/>
    <n v="162027.25"/>
    <n v="37132.82"/>
    <x v="2"/>
    <x v="2"/>
  </r>
  <r>
    <n v="1092"/>
    <s v="Pooja"/>
    <x v="0"/>
    <x v="2"/>
    <x v="3"/>
    <n v="8"/>
    <n v="38107"/>
    <x v="291"/>
    <n v="15"/>
    <x v="5"/>
    <x v="0"/>
    <s v="Mumbai"/>
    <n v="259127.6"/>
    <n v="71415.33"/>
    <x v="0"/>
    <x v="0"/>
  </r>
  <r>
    <n v="1093"/>
    <s v="Karan"/>
    <x v="2"/>
    <x v="3"/>
    <x v="15"/>
    <n v="8"/>
    <n v="15553"/>
    <x v="511"/>
    <n v="20"/>
    <x v="2"/>
    <x v="1"/>
    <s v="Surat"/>
    <n v="99539.199999999997"/>
    <n v="13406.69"/>
    <x v="3"/>
    <x v="1"/>
  </r>
  <r>
    <n v="1094"/>
    <s v="Aman"/>
    <x v="1"/>
    <x v="3"/>
    <x v="8"/>
    <n v="7"/>
    <n v="12834"/>
    <x v="252"/>
    <n v="20"/>
    <x v="3"/>
    <x v="1"/>
    <s v="Pune"/>
    <n v="71870.399999999994"/>
    <n v="19324.82"/>
    <x v="1"/>
    <x v="0"/>
  </r>
  <r>
    <n v="1095"/>
    <s v="Pooja"/>
    <x v="0"/>
    <x v="3"/>
    <x v="8"/>
    <n v="3"/>
    <n v="70860"/>
    <x v="229"/>
    <n v="20"/>
    <x v="3"/>
    <x v="0"/>
    <s v="Mumbai"/>
    <n v="170064"/>
    <n v="44046.02"/>
    <x v="3"/>
    <x v="1"/>
  </r>
  <r>
    <n v="1096"/>
    <s v="Neha"/>
    <x v="0"/>
    <x v="4"/>
    <x v="13"/>
    <n v="3"/>
    <n v="77030"/>
    <x v="210"/>
    <n v="10"/>
    <x v="2"/>
    <x v="0"/>
    <s v="Mumbai"/>
    <n v="207981"/>
    <n v="62017.38"/>
    <x v="3"/>
    <x v="2"/>
  </r>
  <r>
    <n v="1097"/>
    <s v="Vikas"/>
    <x v="3"/>
    <x v="3"/>
    <x v="15"/>
    <n v="5"/>
    <n v="5424"/>
    <x v="55"/>
    <n v="5"/>
    <x v="0"/>
    <x v="0"/>
    <s v="Mumbai"/>
    <n v="25764"/>
    <n v="7361.45"/>
    <x v="3"/>
    <x v="1"/>
  </r>
  <r>
    <n v="1098"/>
    <s v="Neha"/>
    <x v="2"/>
    <x v="1"/>
    <x v="1"/>
    <n v="6"/>
    <n v="66731"/>
    <x v="552"/>
    <n v="0"/>
    <x v="5"/>
    <x v="3"/>
    <s v="Delhi"/>
    <n v="400386"/>
    <n v="113145.32"/>
    <x v="1"/>
    <x v="2"/>
  </r>
  <r>
    <n v="1099"/>
    <s v="Karan"/>
    <x v="1"/>
    <x v="3"/>
    <x v="12"/>
    <n v="8"/>
    <n v="41934"/>
    <x v="436"/>
    <n v="5"/>
    <x v="1"/>
    <x v="0"/>
    <s v="Delhi"/>
    <n v="318698.40000000002"/>
    <n v="75020.02"/>
    <x v="0"/>
    <x v="0"/>
  </r>
  <r>
    <n v="1100"/>
    <s v="Priya"/>
    <x v="1"/>
    <x v="4"/>
    <x v="10"/>
    <n v="10"/>
    <n v="18753"/>
    <x v="519"/>
    <n v="5"/>
    <x v="3"/>
    <x v="0"/>
    <s v="Indore"/>
    <n v="178153.5"/>
    <n v="47561.42"/>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x v="0"/>
    <s v="February"/>
    <n v="2"/>
  </r>
  <r>
    <x v="1"/>
    <s v="February"/>
    <n v="2"/>
  </r>
  <r>
    <x v="0"/>
    <s v="May"/>
    <n v="5"/>
  </r>
  <r>
    <x v="1"/>
    <s v="May"/>
    <n v="5"/>
  </r>
  <r>
    <x v="1"/>
    <s v="June"/>
    <n v="6"/>
  </r>
  <r>
    <x v="0"/>
    <s v="August"/>
    <n v="8"/>
  </r>
  <r>
    <x v="1"/>
    <s v="August"/>
    <n v="8"/>
  </r>
  <r>
    <x v="0"/>
    <s v="September"/>
    <n v="9"/>
  </r>
  <r>
    <x v="0"/>
    <s v="December"/>
    <n v="12"/>
  </r>
  <r>
    <x v="0"/>
    <s v="June"/>
    <n v="6"/>
  </r>
  <r>
    <x v="0"/>
    <s v="August"/>
    <n v="8"/>
  </r>
  <r>
    <x v="0"/>
    <s v="October"/>
    <n v="10"/>
  </r>
  <r>
    <x v="1"/>
    <s v="October"/>
    <n v="10"/>
  </r>
  <r>
    <x v="0"/>
    <s v="November"/>
    <n v="11"/>
  </r>
  <r>
    <x v="0"/>
    <s v="January"/>
    <n v="1"/>
  </r>
  <r>
    <x v="1"/>
    <s v="January"/>
    <n v="1"/>
  </r>
  <r>
    <x v="1"/>
    <s v="February"/>
    <n v="2"/>
  </r>
  <r>
    <x v="0"/>
    <s v="June"/>
    <n v="6"/>
  </r>
  <r>
    <x v="1"/>
    <s v="July"/>
    <n v="7"/>
  </r>
  <r>
    <x v="1"/>
    <s v="August"/>
    <n v="8"/>
  </r>
  <r>
    <x v="1"/>
    <s v="October"/>
    <n v="10"/>
  </r>
  <r>
    <x v="0"/>
    <s v="November"/>
    <n v="11"/>
  </r>
  <r>
    <x v="0"/>
    <s v="December"/>
    <n v="12"/>
  </r>
  <r>
    <x v="1"/>
    <s v="December"/>
    <n v="12"/>
  </r>
  <r>
    <x v="0"/>
    <s v="January"/>
    <n v="1"/>
  </r>
  <r>
    <x v="1"/>
    <s v="April"/>
    <n v="4"/>
  </r>
  <r>
    <x v="1"/>
    <s v="June"/>
    <n v="6"/>
  </r>
  <r>
    <x v="0"/>
    <s v="September"/>
    <n v="9"/>
  </r>
  <r>
    <x v="1"/>
    <s v="September"/>
    <n v="9"/>
  </r>
  <r>
    <x v="1"/>
    <s v="January"/>
    <n v="1"/>
  </r>
  <r>
    <x v="1"/>
    <s v="March"/>
    <n v="3"/>
  </r>
  <r>
    <x v="1"/>
    <s v="May"/>
    <n v="5"/>
  </r>
  <r>
    <x v="0"/>
    <s v="October"/>
    <n v="10"/>
  </r>
  <r>
    <x v="0"/>
    <s v="December"/>
    <n v="12"/>
  </r>
  <r>
    <x v="1"/>
    <s v="February"/>
    <n v="2"/>
  </r>
  <r>
    <x v="0"/>
    <s v="April"/>
    <n v="4"/>
  </r>
  <r>
    <x v="1"/>
    <s v="April"/>
    <n v="4"/>
  </r>
  <r>
    <x v="0"/>
    <s v="May"/>
    <n v="5"/>
  </r>
  <r>
    <x v="0"/>
    <s v="September"/>
    <n v="9"/>
  </r>
  <r>
    <x v="0"/>
    <s v="November"/>
    <n v="11"/>
  </r>
  <r>
    <x v="1"/>
    <s v="November"/>
    <n v="11"/>
  </r>
  <r>
    <x v="1"/>
    <s v="January"/>
    <n v="1"/>
  </r>
  <r>
    <x v="0"/>
    <s v="February"/>
    <n v="2"/>
  </r>
  <r>
    <x v="1"/>
    <s v="March"/>
    <n v="3"/>
  </r>
  <r>
    <x v="0"/>
    <s v="September"/>
    <n v="9"/>
  </r>
  <r>
    <x v="1"/>
    <s v="February"/>
    <n v="2"/>
  </r>
  <r>
    <x v="1"/>
    <s v="March"/>
    <n v="3"/>
  </r>
  <r>
    <x v="1"/>
    <s v="April"/>
    <n v="4"/>
  </r>
  <r>
    <x v="1"/>
    <s v="September"/>
    <n v="9"/>
  </r>
  <r>
    <x v="0"/>
    <s v="December"/>
    <n v="12"/>
  </r>
  <r>
    <x v="1"/>
    <s v="December"/>
    <n v="12"/>
  </r>
  <r>
    <x v="0"/>
    <s v="March"/>
    <n v="3"/>
  </r>
  <r>
    <x v="0"/>
    <s v="April"/>
    <n v="4"/>
  </r>
  <r>
    <x v="0"/>
    <s v="May"/>
    <n v="5"/>
  </r>
  <r>
    <x v="1"/>
    <s v="May"/>
    <n v="5"/>
  </r>
  <r>
    <x v="0"/>
    <s v="June"/>
    <n v="6"/>
  </r>
  <r>
    <x v="1"/>
    <s v="June"/>
    <n v="6"/>
  </r>
  <r>
    <x v="1"/>
    <s v="August"/>
    <n v="8"/>
  </r>
  <r>
    <x v="0"/>
    <s v="October"/>
    <n v="10"/>
  </r>
  <r>
    <x v="1"/>
    <s v="October"/>
    <n v="10"/>
  </r>
  <r>
    <x v="1"/>
    <s v="November"/>
    <n v="11"/>
  </r>
  <r>
    <x v="0"/>
    <s v="February"/>
    <n v="2"/>
  </r>
  <r>
    <x v="0"/>
    <s v="March"/>
    <n v="3"/>
  </r>
  <r>
    <x v="1"/>
    <s v="March"/>
    <n v="3"/>
  </r>
  <r>
    <x v="0"/>
    <s v="May"/>
    <n v="5"/>
  </r>
  <r>
    <x v="1"/>
    <s v="July"/>
    <n v="7"/>
  </r>
  <r>
    <x v="1"/>
    <s v="September"/>
    <n v="9"/>
  </r>
  <r>
    <x v="0"/>
    <s v="October"/>
    <n v="10"/>
  </r>
  <r>
    <x v="0"/>
    <s v="January"/>
    <n v="1"/>
  </r>
  <r>
    <x v="0"/>
    <s v="March"/>
    <n v="3"/>
  </r>
  <r>
    <x v="0"/>
    <s v="June"/>
    <n v="6"/>
  </r>
  <r>
    <x v="0"/>
    <s v="September"/>
    <n v="9"/>
  </r>
  <r>
    <x v="1"/>
    <s v="September"/>
    <n v="9"/>
  </r>
  <r>
    <x v="1"/>
    <s v="October"/>
    <n v="10"/>
  </r>
  <r>
    <x v="1"/>
    <s v="February"/>
    <n v="2"/>
  </r>
  <r>
    <x v="1"/>
    <s v="May"/>
    <n v="5"/>
  </r>
  <r>
    <x v="0"/>
    <s v="June"/>
    <n v="6"/>
  </r>
  <r>
    <x v="0"/>
    <s v="October"/>
    <n v="10"/>
  </r>
  <r>
    <x v="1"/>
    <s v="December"/>
    <n v="12"/>
  </r>
  <r>
    <x v="0"/>
    <s v="January"/>
    <n v="1"/>
  </r>
  <r>
    <x v="1"/>
    <s v="January"/>
    <n v="1"/>
  </r>
  <r>
    <x v="0"/>
    <s v="February"/>
    <n v="2"/>
  </r>
  <r>
    <x v="1"/>
    <s v="February"/>
    <n v="2"/>
  </r>
  <r>
    <x v="0"/>
    <s v="April"/>
    <n v="4"/>
  </r>
  <r>
    <x v="0"/>
    <s v="May"/>
    <n v="5"/>
  </r>
  <r>
    <x v="1"/>
    <s v="July"/>
    <n v="7"/>
  </r>
  <r>
    <x v="0"/>
    <s v="November"/>
    <n v="11"/>
  </r>
  <r>
    <x v="1"/>
    <s v="December"/>
    <n v="12"/>
  </r>
  <r>
    <x v="1"/>
    <s v="March"/>
    <n v="3"/>
  </r>
  <r>
    <x v="1"/>
    <s v="June"/>
    <n v="6"/>
  </r>
  <r>
    <x v="1"/>
    <s v="October"/>
    <n v="10"/>
  </r>
  <r>
    <x v="0"/>
    <s v="December"/>
    <n v="12"/>
  </r>
  <r>
    <x v="1"/>
    <s v="January"/>
    <n v="1"/>
  </r>
  <r>
    <x v="0"/>
    <s v="February"/>
    <n v="2"/>
  </r>
  <r>
    <x v="0"/>
    <s v="March"/>
    <n v="3"/>
  </r>
  <r>
    <x v="1"/>
    <s v="March"/>
    <n v="3"/>
  </r>
  <r>
    <x v="1"/>
    <s v="December"/>
    <n v="12"/>
  </r>
  <r>
    <x v="1"/>
    <s v="January"/>
    <n v="1"/>
  </r>
  <r>
    <x v="0"/>
    <s v="March"/>
    <n v="3"/>
  </r>
  <r>
    <x v="1"/>
    <s v="March"/>
    <n v="3"/>
  </r>
  <r>
    <x v="1"/>
    <s v="May"/>
    <n v="5"/>
  </r>
  <r>
    <x v="0"/>
    <s v="July"/>
    <n v="7"/>
  </r>
  <r>
    <x v="1"/>
    <s v="August"/>
    <n v="8"/>
  </r>
  <r>
    <x v="0"/>
    <s v="September"/>
    <n v="9"/>
  </r>
  <r>
    <x v="0"/>
    <s v="October"/>
    <n v="10"/>
  </r>
  <r>
    <x v="0"/>
    <s v="November"/>
    <n v="11"/>
  </r>
  <r>
    <x v="0"/>
    <s v="December"/>
    <n v="12"/>
  </r>
  <r>
    <x v="1"/>
    <s v="December"/>
    <n v="12"/>
  </r>
  <r>
    <x v="0"/>
    <s v="January"/>
    <n v="1"/>
  </r>
  <r>
    <x v="1"/>
    <s v="February"/>
    <n v="2"/>
  </r>
  <r>
    <x v="1"/>
    <s v="June"/>
    <n v="6"/>
  </r>
  <r>
    <x v="0"/>
    <s v="July"/>
    <n v="7"/>
  </r>
  <r>
    <x v="0"/>
    <s v="October"/>
    <n v="10"/>
  </r>
  <r>
    <x v="1"/>
    <s v="October"/>
    <n v="10"/>
  </r>
  <r>
    <x v="0"/>
    <s v="November"/>
    <n v="11"/>
  </r>
  <r>
    <x v="1"/>
    <s v="December"/>
    <n v="12"/>
  </r>
  <r>
    <x v="0"/>
    <s v="February"/>
    <n v="2"/>
  </r>
  <r>
    <x v="1"/>
    <s v="March"/>
    <n v="3"/>
  </r>
  <r>
    <x v="1"/>
    <s v="August"/>
    <n v="8"/>
  </r>
  <r>
    <x v="0"/>
    <s v="November"/>
    <n v="11"/>
  </r>
  <r>
    <x v="1"/>
    <s v="January"/>
    <n v="1"/>
  </r>
  <r>
    <x v="1"/>
    <s v="February"/>
    <n v="2"/>
  </r>
  <r>
    <x v="1"/>
    <s v="May"/>
    <n v="5"/>
  </r>
  <r>
    <x v="0"/>
    <s v="June"/>
    <n v="6"/>
  </r>
  <r>
    <x v="1"/>
    <s v="July"/>
    <n v="7"/>
  </r>
  <r>
    <x v="0"/>
    <s v="October"/>
    <n v="10"/>
  </r>
  <r>
    <x v="0"/>
    <s v="December"/>
    <n v="12"/>
  </r>
  <r>
    <x v="1"/>
    <s v="December"/>
    <n v="12"/>
  </r>
  <r>
    <x v="0"/>
    <s v="January"/>
    <n v="1"/>
  </r>
  <r>
    <x v="1"/>
    <s v="February"/>
    <n v="2"/>
  </r>
  <r>
    <x v="0"/>
    <s v="April"/>
    <n v="4"/>
  </r>
  <r>
    <x v="0"/>
    <s v="May"/>
    <n v="5"/>
  </r>
  <r>
    <x v="1"/>
    <s v="May"/>
    <n v="5"/>
  </r>
  <r>
    <x v="0"/>
    <s v="July"/>
    <n v="7"/>
  </r>
  <r>
    <x v="1"/>
    <s v="July"/>
    <n v="7"/>
  </r>
  <r>
    <x v="0"/>
    <s v="October"/>
    <n v="10"/>
  </r>
  <r>
    <x v="1"/>
    <s v="November"/>
    <n v="11"/>
  </r>
  <r>
    <x v="0"/>
    <s v="February"/>
    <n v="2"/>
  </r>
  <r>
    <x v="0"/>
    <s v="April"/>
    <n v="4"/>
  </r>
  <r>
    <x v="1"/>
    <s v="June"/>
    <n v="6"/>
  </r>
  <r>
    <x v="0"/>
    <s v="July"/>
    <n v="7"/>
  </r>
  <r>
    <x v="0"/>
    <s v="October"/>
    <n v="10"/>
  </r>
  <r>
    <x v="0"/>
    <s v="November"/>
    <n v="11"/>
  </r>
  <r>
    <x v="1"/>
    <s v="December"/>
    <n v="12"/>
  </r>
  <r>
    <x v="0"/>
    <s v="February"/>
    <n v="2"/>
  </r>
  <r>
    <x v="0"/>
    <s v="March"/>
    <n v="3"/>
  </r>
  <r>
    <x v="1"/>
    <s v="May"/>
    <n v="5"/>
  </r>
  <r>
    <x v="0"/>
    <s v="July"/>
    <n v="7"/>
  </r>
  <r>
    <x v="0"/>
    <s v="October"/>
    <n v="10"/>
  </r>
  <r>
    <x v="0"/>
    <s v="November"/>
    <n v="11"/>
  </r>
  <r>
    <x v="1"/>
    <s v="November"/>
    <n v="11"/>
  </r>
  <r>
    <x v="0"/>
    <s v="January"/>
    <n v="1"/>
  </r>
  <r>
    <x v="0"/>
    <s v="March"/>
    <n v="3"/>
  </r>
  <r>
    <x v="0"/>
    <s v="April"/>
    <n v="4"/>
  </r>
  <r>
    <x v="1"/>
    <s v="May"/>
    <n v="5"/>
  </r>
  <r>
    <x v="1"/>
    <s v="July"/>
    <n v="7"/>
  </r>
  <r>
    <x v="1"/>
    <s v="August"/>
    <n v="8"/>
  </r>
  <r>
    <x v="1"/>
    <s v="September"/>
    <n v="9"/>
  </r>
  <r>
    <x v="1"/>
    <s v="October"/>
    <n v="10"/>
  </r>
  <r>
    <x v="1"/>
    <s v="March"/>
    <n v="3"/>
  </r>
  <r>
    <x v="1"/>
    <s v="April"/>
    <n v="4"/>
  </r>
  <r>
    <x v="0"/>
    <s v="July"/>
    <n v="7"/>
  </r>
  <r>
    <x v="0"/>
    <s v="October"/>
    <n v="10"/>
  </r>
  <r>
    <x v="1"/>
    <s v="November"/>
    <n v="11"/>
  </r>
  <r>
    <x v="1"/>
    <s v="January"/>
    <n v="1"/>
  </r>
  <r>
    <x v="1"/>
    <s v="May"/>
    <n v="5"/>
  </r>
  <r>
    <x v="1"/>
    <s v="June"/>
    <n v="6"/>
  </r>
  <r>
    <x v="1"/>
    <s v="October"/>
    <n v="10"/>
  </r>
  <r>
    <x v="1"/>
    <s v="December"/>
    <n v="12"/>
  </r>
  <r>
    <x v="0"/>
    <s v="January"/>
    <n v="1"/>
  </r>
  <r>
    <x v="0"/>
    <s v="March"/>
    <n v="3"/>
  </r>
  <r>
    <x v="0"/>
    <s v="September"/>
    <n v="9"/>
  </r>
  <r>
    <x v="0"/>
    <s v="October"/>
    <n v="10"/>
  </r>
  <r>
    <x v="0"/>
    <s v="December"/>
    <n v="12"/>
  </r>
  <r>
    <x v="0"/>
    <s v="January"/>
    <n v="1"/>
  </r>
  <r>
    <x v="1"/>
    <s v="July"/>
    <n v="7"/>
  </r>
  <r>
    <x v="1"/>
    <s v="August"/>
    <n v="8"/>
  </r>
  <r>
    <x v="0"/>
    <s v="November"/>
    <n v="11"/>
  </r>
  <r>
    <x v="1"/>
    <s v="December"/>
    <n v="12"/>
  </r>
  <r>
    <x v="0"/>
    <s v="January"/>
    <n v="1"/>
  </r>
  <r>
    <x v="0"/>
    <s v="February"/>
    <n v="2"/>
  </r>
  <r>
    <x v="1"/>
    <s v="August"/>
    <n v="8"/>
  </r>
  <r>
    <x v="0"/>
    <s v="December"/>
    <n v="12"/>
  </r>
  <r>
    <x v="0"/>
    <s v="March"/>
    <n v="3"/>
  </r>
  <r>
    <x v="1"/>
    <s v="April"/>
    <n v="4"/>
  </r>
  <r>
    <x v="0"/>
    <s v="July"/>
    <n v="7"/>
  </r>
  <r>
    <x v="1"/>
    <s v="August"/>
    <n v="8"/>
  </r>
  <r>
    <x v="1"/>
    <s v="October"/>
    <n v="10"/>
  </r>
  <r>
    <x v="1"/>
    <s v="November"/>
    <n v="11"/>
  </r>
  <r>
    <x v="0"/>
    <s v="December"/>
    <n v="12"/>
  </r>
  <r>
    <x v="1"/>
    <s v="December"/>
    <n v="12"/>
  </r>
  <r>
    <x v="0"/>
    <s v="March"/>
    <n v="3"/>
  </r>
  <r>
    <x v="0"/>
    <s v="April"/>
    <n v="4"/>
  </r>
  <r>
    <x v="0"/>
    <s v="August"/>
    <n v="8"/>
  </r>
  <r>
    <x v="0"/>
    <s v="September"/>
    <n v="9"/>
  </r>
  <r>
    <x v="0"/>
    <s v="October"/>
    <n v="10"/>
  </r>
  <r>
    <x v="0"/>
    <s v="November"/>
    <n v="11"/>
  </r>
  <r>
    <x v="0"/>
    <s v="January"/>
    <n v="1"/>
  </r>
  <r>
    <x v="0"/>
    <s v="March"/>
    <n v="3"/>
  </r>
  <r>
    <x v="1"/>
    <s v="March"/>
    <n v="3"/>
  </r>
  <r>
    <x v="0"/>
    <s v="July"/>
    <n v="7"/>
  </r>
  <r>
    <x v="1"/>
    <s v="October"/>
    <n v="10"/>
  </r>
  <r>
    <x v="0"/>
    <s v="December"/>
    <n v="12"/>
  </r>
</pivotCacheRecords>
</file>

<file path=xl/pivotCache/pivotCacheRecords3.xml><?xml version="1.0" encoding="utf-8"?>
<pivotCacheRecords xmlns="http://schemas.openxmlformats.org/spreadsheetml/2006/main" xmlns:r="http://schemas.openxmlformats.org/officeDocument/2006/relationships" count="563">
  <r>
    <x v="0"/>
    <x v="0"/>
    <x v="0"/>
  </r>
  <r>
    <x v="1"/>
    <x v="0"/>
    <x v="0"/>
  </r>
  <r>
    <x v="0"/>
    <x v="0"/>
    <x v="0"/>
  </r>
  <r>
    <x v="1"/>
    <x v="0"/>
    <x v="0"/>
  </r>
  <r>
    <x v="0"/>
    <x v="0"/>
    <x v="0"/>
  </r>
  <r>
    <x v="1"/>
    <x v="0"/>
    <x v="0"/>
  </r>
  <r>
    <x v="0"/>
    <x v="0"/>
    <x v="0"/>
  </r>
  <r>
    <x v="1"/>
    <x v="0"/>
    <x v="0"/>
  </r>
  <r>
    <x v="0"/>
    <x v="0"/>
    <x v="0"/>
  </r>
  <r>
    <x v="1"/>
    <x v="0"/>
    <x v="0"/>
  </r>
  <r>
    <x v="1"/>
    <x v="0"/>
    <x v="0"/>
  </r>
  <r>
    <x v="0"/>
    <x v="0"/>
    <x v="0"/>
  </r>
  <r>
    <x v="1"/>
    <x v="0"/>
    <x v="0"/>
  </r>
  <r>
    <x v="0"/>
    <x v="0"/>
    <x v="0"/>
  </r>
  <r>
    <x v="1"/>
    <x v="0"/>
    <x v="0"/>
  </r>
  <r>
    <x v="0"/>
    <x v="0"/>
    <x v="0"/>
  </r>
  <r>
    <x v="1"/>
    <x v="0"/>
    <x v="0"/>
  </r>
  <r>
    <x v="0"/>
    <x v="0"/>
    <x v="0"/>
  </r>
  <r>
    <x v="1"/>
    <x v="0"/>
    <x v="0"/>
  </r>
  <r>
    <x v="0"/>
    <x v="1"/>
    <x v="1"/>
  </r>
  <r>
    <x v="1"/>
    <x v="1"/>
    <x v="1"/>
  </r>
  <r>
    <x v="0"/>
    <x v="1"/>
    <x v="1"/>
  </r>
  <r>
    <x v="1"/>
    <x v="1"/>
    <x v="1"/>
  </r>
  <r>
    <x v="0"/>
    <x v="1"/>
    <x v="1"/>
  </r>
  <r>
    <x v="0"/>
    <x v="1"/>
    <x v="1"/>
  </r>
  <r>
    <x v="0"/>
    <x v="1"/>
    <x v="1"/>
  </r>
  <r>
    <x v="1"/>
    <x v="1"/>
    <x v="1"/>
  </r>
  <r>
    <x v="0"/>
    <x v="1"/>
    <x v="1"/>
  </r>
  <r>
    <x v="1"/>
    <x v="1"/>
    <x v="1"/>
  </r>
  <r>
    <x v="0"/>
    <x v="1"/>
    <x v="1"/>
  </r>
  <r>
    <x v="1"/>
    <x v="1"/>
    <x v="1"/>
  </r>
  <r>
    <x v="0"/>
    <x v="1"/>
    <x v="1"/>
  </r>
  <r>
    <x v="0"/>
    <x v="1"/>
    <x v="1"/>
  </r>
  <r>
    <x v="0"/>
    <x v="1"/>
    <x v="1"/>
  </r>
  <r>
    <x v="1"/>
    <x v="1"/>
    <x v="1"/>
  </r>
  <r>
    <x v="0"/>
    <x v="1"/>
    <x v="1"/>
  </r>
  <r>
    <x v="1"/>
    <x v="1"/>
    <x v="1"/>
  </r>
  <r>
    <x v="0"/>
    <x v="1"/>
    <x v="1"/>
  </r>
  <r>
    <x v="1"/>
    <x v="1"/>
    <x v="1"/>
  </r>
  <r>
    <x v="0"/>
    <x v="2"/>
    <x v="2"/>
  </r>
  <r>
    <x v="1"/>
    <x v="2"/>
    <x v="2"/>
  </r>
  <r>
    <x v="0"/>
    <x v="2"/>
    <x v="2"/>
  </r>
  <r>
    <x v="1"/>
    <x v="2"/>
    <x v="2"/>
  </r>
  <r>
    <x v="0"/>
    <x v="2"/>
    <x v="2"/>
  </r>
  <r>
    <x v="1"/>
    <x v="2"/>
    <x v="2"/>
  </r>
  <r>
    <x v="0"/>
    <x v="2"/>
    <x v="2"/>
  </r>
  <r>
    <x v="1"/>
    <x v="2"/>
    <x v="2"/>
  </r>
  <r>
    <x v="0"/>
    <x v="2"/>
    <x v="2"/>
  </r>
  <r>
    <x v="1"/>
    <x v="2"/>
    <x v="2"/>
  </r>
  <r>
    <x v="0"/>
    <x v="2"/>
    <x v="2"/>
  </r>
  <r>
    <x v="1"/>
    <x v="2"/>
    <x v="2"/>
  </r>
  <r>
    <x v="0"/>
    <x v="2"/>
    <x v="2"/>
  </r>
  <r>
    <x v="1"/>
    <x v="2"/>
    <x v="2"/>
  </r>
  <r>
    <x v="1"/>
    <x v="2"/>
    <x v="2"/>
  </r>
  <r>
    <x v="1"/>
    <x v="2"/>
    <x v="2"/>
  </r>
  <r>
    <x v="0"/>
    <x v="2"/>
    <x v="2"/>
  </r>
  <r>
    <x v="1"/>
    <x v="2"/>
    <x v="2"/>
  </r>
  <r>
    <x v="0"/>
    <x v="2"/>
    <x v="2"/>
  </r>
  <r>
    <x v="1"/>
    <x v="2"/>
    <x v="2"/>
  </r>
  <r>
    <x v="0"/>
    <x v="3"/>
    <x v="3"/>
  </r>
  <r>
    <x v="0"/>
    <x v="3"/>
    <x v="3"/>
  </r>
  <r>
    <x v="1"/>
    <x v="3"/>
    <x v="3"/>
  </r>
  <r>
    <x v="0"/>
    <x v="3"/>
    <x v="3"/>
  </r>
  <r>
    <x v="1"/>
    <x v="3"/>
    <x v="3"/>
  </r>
  <r>
    <x v="0"/>
    <x v="3"/>
    <x v="3"/>
  </r>
  <r>
    <x v="1"/>
    <x v="3"/>
    <x v="3"/>
  </r>
  <r>
    <x v="0"/>
    <x v="3"/>
    <x v="3"/>
  </r>
  <r>
    <x v="0"/>
    <x v="3"/>
    <x v="3"/>
  </r>
  <r>
    <x v="1"/>
    <x v="3"/>
    <x v="3"/>
  </r>
  <r>
    <x v="0"/>
    <x v="3"/>
    <x v="3"/>
  </r>
  <r>
    <x v="1"/>
    <x v="3"/>
    <x v="3"/>
  </r>
  <r>
    <x v="0"/>
    <x v="3"/>
    <x v="3"/>
  </r>
  <r>
    <x v="1"/>
    <x v="3"/>
    <x v="3"/>
  </r>
  <r>
    <x v="0"/>
    <x v="3"/>
    <x v="3"/>
  </r>
  <r>
    <x v="1"/>
    <x v="3"/>
    <x v="3"/>
  </r>
  <r>
    <x v="1"/>
    <x v="3"/>
    <x v="3"/>
  </r>
  <r>
    <x v="0"/>
    <x v="4"/>
    <x v="4"/>
  </r>
  <r>
    <x v="1"/>
    <x v="4"/>
    <x v="4"/>
  </r>
  <r>
    <x v="0"/>
    <x v="4"/>
    <x v="4"/>
  </r>
  <r>
    <x v="1"/>
    <x v="4"/>
    <x v="4"/>
  </r>
  <r>
    <x v="0"/>
    <x v="4"/>
    <x v="4"/>
  </r>
  <r>
    <x v="1"/>
    <x v="4"/>
    <x v="4"/>
  </r>
  <r>
    <x v="1"/>
    <x v="4"/>
    <x v="4"/>
  </r>
  <r>
    <x v="1"/>
    <x v="4"/>
    <x v="4"/>
  </r>
  <r>
    <x v="0"/>
    <x v="4"/>
    <x v="4"/>
  </r>
  <r>
    <x v="1"/>
    <x v="4"/>
    <x v="4"/>
  </r>
  <r>
    <x v="0"/>
    <x v="4"/>
    <x v="4"/>
  </r>
  <r>
    <x v="1"/>
    <x v="4"/>
    <x v="4"/>
  </r>
  <r>
    <x v="0"/>
    <x v="4"/>
    <x v="4"/>
  </r>
  <r>
    <x v="1"/>
    <x v="4"/>
    <x v="4"/>
  </r>
  <r>
    <x v="0"/>
    <x v="4"/>
    <x v="4"/>
  </r>
  <r>
    <x v="1"/>
    <x v="4"/>
    <x v="4"/>
  </r>
  <r>
    <x v="0"/>
    <x v="4"/>
    <x v="4"/>
  </r>
  <r>
    <x v="1"/>
    <x v="5"/>
    <x v="5"/>
  </r>
  <r>
    <x v="0"/>
    <x v="5"/>
    <x v="5"/>
  </r>
  <r>
    <x v="1"/>
    <x v="5"/>
    <x v="5"/>
  </r>
  <r>
    <x v="1"/>
    <x v="5"/>
    <x v="5"/>
  </r>
  <r>
    <x v="0"/>
    <x v="5"/>
    <x v="5"/>
  </r>
  <r>
    <x v="1"/>
    <x v="5"/>
    <x v="5"/>
  </r>
  <r>
    <x v="0"/>
    <x v="5"/>
    <x v="5"/>
  </r>
  <r>
    <x v="1"/>
    <x v="5"/>
    <x v="5"/>
  </r>
  <r>
    <x v="0"/>
    <x v="5"/>
    <x v="5"/>
  </r>
  <r>
    <x v="0"/>
    <x v="5"/>
    <x v="5"/>
  </r>
  <r>
    <x v="1"/>
    <x v="5"/>
    <x v="5"/>
  </r>
  <r>
    <x v="0"/>
    <x v="5"/>
    <x v="5"/>
  </r>
  <r>
    <x v="0"/>
    <x v="5"/>
    <x v="5"/>
  </r>
  <r>
    <x v="1"/>
    <x v="5"/>
    <x v="5"/>
  </r>
  <r>
    <x v="0"/>
    <x v="5"/>
    <x v="5"/>
  </r>
  <r>
    <x v="1"/>
    <x v="6"/>
    <x v="6"/>
  </r>
  <r>
    <x v="0"/>
    <x v="6"/>
    <x v="6"/>
  </r>
  <r>
    <x v="0"/>
    <x v="6"/>
    <x v="6"/>
  </r>
  <r>
    <x v="1"/>
    <x v="6"/>
    <x v="6"/>
  </r>
  <r>
    <x v="0"/>
    <x v="6"/>
    <x v="6"/>
  </r>
  <r>
    <x v="1"/>
    <x v="6"/>
    <x v="6"/>
  </r>
  <r>
    <x v="0"/>
    <x v="6"/>
    <x v="6"/>
  </r>
  <r>
    <x v="0"/>
    <x v="6"/>
    <x v="6"/>
  </r>
  <r>
    <x v="1"/>
    <x v="6"/>
    <x v="6"/>
  </r>
  <r>
    <x v="0"/>
    <x v="6"/>
    <x v="6"/>
  </r>
  <r>
    <x v="1"/>
    <x v="6"/>
    <x v="6"/>
  </r>
  <r>
    <x v="0"/>
    <x v="6"/>
    <x v="6"/>
  </r>
  <r>
    <x v="0"/>
    <x v="6"/>
    <x v="6"/>
  </r>
  <r>
    <x v="0"/>
    <x v="6"/>
    <x v="6"/>
  </r>
  <r>
    <x v="0"/>
    <x v="6"/>
    <x v="6"/>
  </r>
  <r>
    <x v="0"/>
    <x v="7"/>
    <x v="7"/>
  </r>
  <r>
    <x v="0"/>
    <x v="7"/>
    <x v="7"/>
  </r>
  <r>
    <x v="1"/>
    <x v="7"/>
    <x v="7"/>
  </r>
  <r>
    <x v="0"/>
    <x v="7"/>
    <x v="7"/>
  </r>
  <r>
    <x v="1"/>
    <x v="7"/>
    <x v="7"/>
  </r>
  <r>
    <x v="0"/>
    <x v="7"/>
    <x v="7"/>
  </r>
  <r>
    <x v="1"/>
    <x v="7"/>
    <x v="7"/>
  </r>
  <r>
    <x v="0"/>
    <x v="7"/>
    <x v="7"/>
  </r>
  <r>
    <x v="1"/>
    <x v="7"/>
    <x v="7"/>
  </r>
  <r>
    <x v="0"/>
    <x v="7"/>
    <x v="7"/>
  </r>
  <r>
    <x v="1"/>
    <x v="7"/>
    <x v="7"/>
  </r>
  <r>
    <x v="0"/>
    <x v="7"/>
    <x v="7"/>
  </r>
  <r>
    <x v="1"/>
    <x v="7"/>
    <x v="7"/>
  </r>
  <r>
    <x v="1"/>
    <x v="7"/>
    <x v="7"/>
  </r>
  <r>
    <x v="0"/>
    <x v="7"/>
    <x v="7"/>
  </r>
  <r>
    <x v="0"/>
    <x v="7"/>
    <x v="7"/>
  </r>
  <r>
    <x v="1"/>
    <x v="7"/>
    <x v="7"/>
  </r>
  <r>
    <x v="0"/>
    <x v="8"/>
    <x v="8"/>
  </r>
  <r>
    <x v="1"/>
    <x v="8"/>
    <x v="8"/>
  </r>
  <r>
    <x v="0"/>
    <x v="8"/>
    <x v="8"/>
  </r>
  <r>
    <x v="1"/>
    <x v="8"/>
    <x v="8"/>
  </r>
  <r>
    <x v="0"/>
    <x v="8"/>
    <x v="8"/>
  </r>
  <r>
    <x v="0"/>
    <x v="8"/>
    <x v="8"/>
  </r>
  <r>
    <x v="1"/>
    <x v="8"/>
    <x v="8"/>
  </r>
  <r>
    <x v="0"/>
    <x v="8"/>
    <x v="8"/>
  </r>
  <r>
    <x v="1"/>
    <x v="8"/>
    <x v="8"/>
  </r>
  <r>
    <x v="0"/>
    <x v="8"/>
    <x v="8"/>
  </r>
  <r>
    <x v="1"/>
    <x v="8"/>
    <x v="8"/>
  </r>
  <r>
    <x v="0"/>
    <x v="8"/>
    <x v="8"/>
  </r>
  <r>
    <x v="1"/>
    <x v="8"/>
    <x v="8"/>
  </r>
  <r>
    <x v="0"/>
    <x v="8"/>
    <x v="8"/>
  </r>
  <r>
    <x v="1"/>
    <x v="8"/>
    <x v="8"/>
  </r>
  <r>
    <x v="0"/>
    <x v="8"/>
    <x v="8"/>
  </r>
  <r>
    <x v="1"/>
    <x v="8"/>
    <x v="8"/>
  </r>
  <r>
    <x v="0"/>
    <x v="8"/>
    <x v="8"/>
  </r>
  <r>
    <x v="1"/>
    <x v="8"/>
    <x v="8"/>
  </r>
  <r>
    <x v="0"/>
    <x v="8"/>
    <x v="8"/>
  </r>
  <r>
    <x v="1"/>
    <x v="8"/>
    <x v="8"/>
  </r>
  <r>
    <x v="0"/>
    <x v="8"/>
    <x v="8"/>
  </r>
  <r>
    <x v="0"/>
    <x v="9"/>
    <x v="9"/>
  </r>
  <r>
    <x v="1"/>
    <x v="9"/>
    <x v="9"/>
  </r>
  <r>
    <x v="0"/>
    <x v="9"/>
    <x v="9"/>
  </r>
  <r>
    <x v="1"/>
    <x v="9"/>
    <x v="9"/>
  </r>
  <r>
    <x v="1"/>
    <x v="9"/>
    <x v="9"/>
  </r>
  <r>
    <x v="0"/>
    <x v="9"/>
    <x v="9"/>
  </r>
  <r>
    <x v="1"/>
    <x v="9"/>
    <x v="9"/>
  </r>
  <r>
    <x v="0"/>
    <x v="9"/>
    <x v="9"/>
  </r>
  <r>
    <x v="1"/>
    <x v="9"/>
    <x v="9"/>
  </r>
  <r>
    <x v="0"/>
    <x v="9"/>
    <x v="9"/>
  </r>
  <r>
    <x v="1"/>
    <x v="9"/>
    <x v="9"/>
  </r>
  <r>
    <x v="0"/>
    <x v="9"/>
    <x v="9"/>
  </r>
  <r>
    <x v="1"/>
    <x v="9"/>
    <x v="9"/>
  </r>
  <r>
    <x v="1"/>
    <x v="9"/>
    <x v="9"/>
  </r>
  <r>
    <x v="0"/>
    <x v="9"/>
    <x v="9"/>
  </r>
  <r>
    <x v="1"/>
    <x v="9"/>
    <x v="9"/>
  </r>
  <r>
    <x v="0"/>
    <x v="9"/>
    <x v="9"/>
  </r>
  <r>
    <x v="1"/>
    <x v="9"/>
    <x v="9"/>
  </r>
  <r>
    <x v="1"/>
    <x v="9"/>
    <x v="9"/>
  </r>
  <r>
    <x v="0"/>
    <x v="10"/>
    <x v="10"/>
  </r>
  <r>
    <x v="0"/>
    <x v="10"/>
    <x v="10"/>
  </r>
  <r>
    <x v="0"/>
    <x v="10"/>
    <x v="10"/>
  </r>
  <r>
    <x v="1"/>
    <x v="10"/>
    <x v="10"/>
  </r>
  <r>
    <x v="0"/>
    <x v="10"/>
    <x v="10"/>
  </r>
  <r>
    <x v="1"/>
    <x v="10"/>
    <x v="10"/>
  </r>
  <r>
    <x v="0"/>
    <x v="10"/>
    <x v="10"/>
  </r>
  <r>
    <x v="1"/>
    <x v="10"/>
    <x v="10"/>
  </r>
  <r>
    <x v="0"/>
    <x v="10"/>
    <x v="10"/>
  </r>
  <r>
    <x v="1"/>
    <x v="10"/>
    <x v="10"/>
  </r>
  <r>
    <x v="0"/>
    <x v="10"/>
    <x v="10"/>
  </r>
  <r>
    <x v="1"/>
    <x v="10"/>
    <x v="10"/>
  </r>
  <r>
    <x v="1"/>
    <x v="10"/>
    <x v="10"/>
  </r>
  <r>
    <x v="0"/>
    <x v="10"/>
    <x v="10"/>
  </r>
  <r>
    <x v="1"/>
    <x v="10"/>
    <x v="10"/>
  </r>
  <r>
    <x v="0"/>
    <x v="10"/>
    <x v="10"/>
  </r>
  <r>
    <x v="1"/>
    <x v="10"/>
    <x v="10"/>
  </r>
  <r>
    <x v="1"/>
    <x v="10"/>
    <x v="10"/>
  </r>
  <r>
    <x v="0"/>
    <x v="10"/>
    <x v="10"/>
  </r>
  <r>
    <x v="1"/>
    <x v="10"/>
    <x v="10"/>
  </r>
  <r>
    <x v="1"/>
    <x v="11"/>
    <x v="11"/>
  </r>
  <r>
    <x v="0"/>
    <x v="11"/>
    <x v="11"/>
  </r>
  <r>
    <x v="1"/>
    <x v="11"/>
    <x v="11"/>
  </r>
  <r>
    <x v="0"/>
    <x v="11"/>
    <x v="11"/>
  </r>
  <r>
    <x v="1"/>
    <x v="11"/>
    <x v="11"/>
  </r>
  <r>
    <x v="0"/>
    <x v="11"/>
    <x v="11"/>
  </r>
  <r>
    <x v="1"/>
    <x v="11"/>
    <x v="11"/>
  </r>
  <r>
    <x v="0"/>
    <x v="11"/>
    <x v="11"/>
  </r>
  <r>
    <x v="1"/>
    <x v="11"/>
    <x v="11"/>
  </r>
  <r>
    <x v="0"/>
    <x v="11"/>
    <x v="11"/>
  </r>
  <r>
    <x v="1"/>
    <x v="11"/>
    <x v="11"/>
  </r>
  <r>
    <x v="1"/>
    <x v="11"/>
    <x v="11"/>
  </r>
  <r>
    <x v="0"/>
    <x v="11"/>
    <x v="11"/>
  </r>
  <r>
    <x v="0"/>
    <x v="11"/>
    <x v="11"/>
  </r>
  <r>
    <x v="1"/>
    <x v="11"/>
    <x v="11"/>
  </r>
  <r>
    <x v="0"/>
    <x v="11"/>
    <x v="11"/>
  </r>
  <r>
    <x v="1"/>
    <x v="11"/>
    <x v="11"/>
  </r>
  <r>
    <x v="0"/>
    <x v="11"/>
    <x v="11"/>
  </r>
  <r>
    <x v="1"/>
    <x v="11"/>
    <x v="11"/>
  </r>
  <r>
    <x v="0"/>
    <x v="11"/>
    <x v="11"/>
  </r>
  <r>
    <x v="1"/>
    <x v="11"/>
    <x v="11"/>
  </r>
  <r>
    <x v="2"/>
    <x v="12"/>
    <x v="12"/>
  </r>
  <r>
    <x v="2"/>
    <x v="13"/>
    <x v="12"/>
  </r>
  <r>
    <x v="2"/>
    <x v="14"/>
    <x v="12"/>
  </r>
  <r>
    <x v="2"/>
    <x v="15"/>
    <x v="12"/>
  </r>
  <r>
    <x v="2"/>
    <x v="16"/>
    <x v="12"/>
  </r>
  <r>
    <x v="2"/>
    <x v="17"/>
    <x v="12"/>
  </r>
  <r>
    <x v="2"/>
    <x v="18"/>
    <x v="12"/>
  </r>
  <r>
    <x v="2"/>
    <x v="19"/>
    <x v="12"/>
  </r>
  <r>
    <x v="2"/>
    <x v="20"/>
    <x v="12"/>
  </r>
  <r>
    <x v="2"/>
    <x v="21"/>
    <x v="12"/>
  </r>
  <r>
    <x v="2"/>
    <x v="22"/>
    <x v="12"/>
  </r>
  <r>
    <x v="2"/>
    <x v="23"/>
    <x v="12"/>
  </r>
  <r>
    <x v="2"/>
    <x v="24"/>
    <x v="12"/>
  </r>
  <r>
    <x v="2"/>
    <x v="25"/>
    <x v="12"/>
  </r>
  <r>
    <x v="2"/>
    <x v="26"/>
    <x v="12"/>
  </r>
  <r>
    <x v="2"/>
    <x v="27"/>
    <x v="12"/>
  </r>
  <r>
    <x v="2"/>
    <x v="28"/>
    <x v="12"/>
  </r>
  <r>
    <x v="2"/>
    <x v="29"/>
    <x v="12"/>
  </r>
  <r>
    <x v="2"/>
    <x v="30"/>
    <x v="12"/>
  </r>
  <r>
    <x v="2"/>
    <x v="31"/>
    <x v="12"/>
  </r>
  <r>
    <x v="2"/>
    <x v="32"/>
    <x v="12"/>
  </r>
  <r>
    <x v="2"/>
    <x v="33"/>
    <x v="12"/>
  </r>
  <r>
    <x v="2"/>
    <x v="34"/>
    <x v="12"/>
  </r>
  <r>
    <x v="2"/>
    <x v="35"/>
    <x v="12"/>
  </r>
  <r>
    <x v="2"/>
    <x v="36"/>
    <x v="12"/>
  </r>
  <r>
    <x v="2"/>
    <x v="37"/>
    <x v="12"/>
  </r>
  <r>
    <x v="2"/>
    <x v="38"/>
    <x v="12"/>
  </r>
  <r>
    <x v="2"/>
    <x v="39"/>
    <x v="12"/>
  </r>
  <r>
    <x v="2"/>
    <x v="40"/>
    <x v="12"/>
  </r>
  <r>
    <x v="2"/>
    <x v="41"/>
    <x v="12"/>
  </r>
  <r>
    <x v="2"/>
    <x v="42"/>
    <x v="12"/>
  </r>
  <r>
    <x v="2"/>
    <x v="43"/>
    <x v="12"/>
  </r>
  <r>
    <x v="2"/>
    <x v="44"/>
    <x v="12"/>
  </r>
  <r>
    <x v="2"/>
    <x v="45"/>
    <x v="12"/>
  </r>
  <r>
    <x v="2"/>
    <x v="46"/>
    <x v="12"/>
  </r>
  <r>
    <x v="2"/>
    <x v="47"/>
    <x v="12"/>
  </r>
  <r>
    <x v="2"/>
    <x v="48"/>
    <x v="12"/>
  </r>
  <r>
    <x v="2"/>
    <x v="49"/>
    <x v="12"/>
  </r>
  <r>
    <x v="2"/>
    <x v="50"/>
    <x v="12"/>
  </r>
  <r>
    <x v="2"/>
    <x v="51"/>
    <x v="12"/>
  </r>
  <r>
    <x v="2"/>
    <x v="52"/>
    <x v="12"/>
  </r>
  <r>
    <x v="2"/>
    <x v="53"/>
    <x v="12"/>
  </r>
  <r>
    <x v="2"/>
    <x v="54"/>
    <x v="12"/>
  </r>
  <r>
    <x v="2"/>
    <x v="55"/>
    <x v="12"/>
  </r>
  <r>
    <x v="2"/>
    <x v="56"/>
    <x v="12"/>
  </r>
  <r>
    <x v="2"/>
    <x v="57"/>
    <x v="12"/>
  </r>
  <r>
    <x v="2"/>
    <x v="58"/>
    <x v="12"/>
  </r>
  <r>
    <x v="2"/>
    <x v="59"/>
    <x v="12"/>
  </r>
  <r>
    <x v="2"/>
    <x v="60"/>
    <x v="12"/>
  </r>
  <r>
    <x v="2"/>
    <x v="61"/>
    <x v="12"/>
  </r>
  <r>
    <x v="2"/>
    <x v="62"/>
    <x v="12"/>
  </r>
  <r>
    <x v="2"/>
    <x v="63"/>
    <x v="12"/>
  </r>
  <r>
    <x v="2"/>
    <x v="64"/>
    <x v="12"/>
  </r>
  <r>
    <x v="2"/>
    <x v="65"/>
    <x v="12"/>
  </r>
  <r>
    <x v="2"/>
    <x v="66"/>
    <x v="12"/>
  </r>
  <r>
    <x v="2"/>
    <x v="67"/>
    <x v="12"/>
  </r>
  <r>
    <x v="2"/>
    <x v="68"/>
    <x v="12"/>
  </r>
  <r>
    <x v="2"/>
    <x v="69"/>
    <x v="12"/>
  </r>
  <r>
    <x v="2"/>
    <x v="70"/>
    <x v="12"/>
  </r>
  <r>
    <x v="2"/>
    <x v="71"/>
    <x v="12"/>
  </r>
  <r>
    <x v="2"/>
    <x v="72"/>
    <x v="12"/>
  </r>
  <r>
    <x v="2"/>
    <x v="73"/>
    <x v="12"/>
  </r>
  <r>
    <x v="2"/>
    <x v="74"/>
    <x v="12"/>
  </r>
  <r>
    <x v="2"/>
    <x v="75"/>
    <x v="12"/>
  </r>
  <r>
    <x v="2"/>
    <x v="76"/>
    <x v="12"/>
  </r>
  <r>
    <x v="2"/>
    <x v="77"/>
    <x v="12"/>
  </r>
  <r>
    <x v="2"/>
    <x v="78"/>
    <x v="12"/>
  </r>
  <r>
    <x v="2"/>
    <x v="79"/>
    <x v="12"/>
  </r>
  <r>
    <x v="2"/>
    <x v="80"/>
    <x v="12"/>
  </r>
  <r>
    <x v="2"/>
    <x v="81"/>
    <x v="12"/>
  </r>
  <r>
    <x v="2"/>
    <x v="82"/>
    <x v="12"/>
  </r>
  <r>
    <x v="2"/>
    <x v="83"/>
    <x v="12"/>
  </r>
  <r>
    <x v="2"/>
    <x v="84"/>
    <x v="12"/>
  </r>
  <r>
    <x v="2"/>
    <x v="85"/>
    <x v="12"/>
  </r>
  <r>
    <x v="2"/>
    <x v="86"/>
    <x v="12"/>
  </r>
  <r>
    <x v="2"/>
    <x v="87"/>
    <x v="12"/>
  </r>
  <r>
    <x v="2"/>
    <x v="88"/>
    <x v="12"/>
  </r>
  <r>
    <x v="2"/>
    <x v="89"/>
    <x v="12"/>
  </r>
  <r>
    <x v="2"/>
    <x v="90"/>
    <x v="12"/>
  </r>
  <r>
    <x v="2"/>
    <x v="91"/>
    <x v="12"/>
  </r>
  <r>
    <x v="2"/>
    <x v="92"/>
    <x v="12"/>
  </r>
  <r>
    <x v="2"/>
    <x v="93"/>
    <x v="12"/>
  </r>
  <r>
    <x v="2"/>
    <x v="94"/>
    <x v="12"/>
  </r>
  <r>
    <x v="2"/>
    <x v="95"/>
    <x v="12"/>
  </r>
  <r>
    <x v="2"/>
    <x v="96"/>
    <x v="12"/>
  </r>
  <r>
    <x v="2"/>
    <x v="97"/>
    <x v="12"/>
  </r>
  <r>
    <x v="2"/>
    <x v="98"/>
    <x v="12"/>
  </r>
  <r>
    <x v="2"/>
    <x v="99"/>
    <x v="12"/>
  </r>
  <r>
    <x v="2"/>
    <x v="100"/>
    <x v="12"/>
  </r>
  <r>
    <x v="2"/>
    <x v="101"/>
    <x v="12"/>
  </r>
  <r>
    <x v="2"/>
    <x v="102"/>
    <x v="12"/>
  </r>
  <r>
    <x v="2"/>
    <x v="103"/>
    <x v="12"/>
  </r>
  <r>
    <x v="2"/>
    <x v="104"/>
    <x v="12"/>
  </r>
  <r>
    <x v="2"/>
    <x v="105"/>
    <x v="12"/>
  </r>
  <r>
    <x v="2"/>
    <x v="106"/>
    <x v="12"/>
  </r>
  <r>
    <x v="2"/>
    <x v="107"/>
    <x v="12"/>
  </r>
  <r>
    <x v="2"/>
    <x v="108"/>
    <x v="12"/>
  </r>
  <r>
    <x v="2"/>
    <x v="109"/>
    <x v="12"/>
  </r>
  <r>
    <x v="2"/>
    <x v="110"/>
    <x v="12"/>
  </r>
  <r>
    <x v="2"/>
    <x v="111"/>
    <x v="12"/>
  </r>
  <r>
    <x v="2"/>
    <x v="112"/>
    <x v="12"/>
  </r>
  <r>
    <x v="2"/>
    <x v="113"/>
    <x v="12"/>
  </r>
  <r>
    <x v="2"/>
    <x v="114"/>
    <x v="12"/>
  </r>
  <r>
    <x v="2"/>
    <x v="115"/>
    <x v="12"/>
  </r>
  <r>
    <x v="2"/>
    <x v="116"/>
    <x v="12"/>
  </r>
  <r>
    <x v="2"/>
    <x v="117"/>
    <x v="12"/>
  </r>
  <r>
    <x v="2"/>
    <x v="118"/>
    <x v="12"/>
  </r>
  <r>
    <x v="2"/>
    <x v="119"/>
    <x v="12"/>
  </r>
  <r>
    <x v="2"/>
    <x v="120"/>
    <x v="12"/>
  </r>
  <r>
    <x v="2"/>
    <x v="121"/>
    <x v="12"/>
  </r>
  <r>
    <x v="2"/>
    <x v="122"/>
    <x v="12"/>
  </r>
  <r>
    <x v="2"/>
    <x v="123"/>
    <x v="12"/>
  </r>
  <r>
    <x v="2"/>
    <x v="124"/>
    <x v="12"/>
  </r>
  <r>
    <x v="2"/>
    <x v="125"/>
    <x v="12"/>
  </r>
  <r>
    <x v="2"/>
    <x v="126"/>
    <x v="12"/>
  </r>
  <r>
    <x v="2"/>
    <x v="127"/>
    <x v="12"/>
  </r>
  <r>
    <x v="2"/>
    <x v="128"/>
    <x v="12"/>
  </r>
  <r>
    <x v="2"/>
    <x v="129"/>
    <x v="12"/>
  </r>
  <r>
    <x v="2"/>
    <x v="130"/>
    <x v="12"/>
  </r>
  <r>
    <x v="2"/>
    <x v="131"/>
    <x v="12"/>
  </r>
  <r>
    <x v="2"/>
    <x v="132"/>
    <x v="12"/>
  </r>
  <r>
    <x v="2"/>
    <x v="133"/>
    <x v="12"/>
  </r>
  <r>
    <x v="2"/>
    <x v="134"/>
    <x v="12"/>
  </r>
  <r>
    <x v="2"/>
    <x v="135"/>
    <x v="12"/>
  </r>
  <r>
    <x v="2"/>
    <x v="136"/>
    <x v="12"/>
  </r>
  <r>
    <x v="2"/>
    <x v="137"/>
    <x v="12"/>
  </r>
  <r>
    <x v="2"/>
    <x v="138"/>
    <x v="12"/>
  </r>
  <r>
    <x v="2"/>
    <x v="139"/>
    <x v="12"/>
  </r>
  <r>
    <x v="2"/>
    <x v="140"/>
    <x v="12"/>
  </r>
  <r>
    <x v="2"/>
    <x v="141"/>
    <x v="12"/>
  </r>
  <r>
    <x v="2"/>
    <x v="142"/>
    <x v="12"/>
  </r>
  <r>
    <x v="2"/>
    <x v="143"/>
    <x v="12"/>
  </r>
  <r>
    <x v="2"/>
    <x v="144"/>
    <x v="12"/>
  </r>
  <r>
    <x v="2"/>
    <x v="145"/>
    <x v="12"/>
  </r>
  <r>
    <x v="2"/>
    <x v="146"/>
    <x v="12"/>
  </r>
  <r>
    <x v="2"/>
    <x v="147"/>
    <x v="12"/>
  </r>
  <r>
    <x v="2"/>
    <x v="148"/>
    <x v="12"/>
  </r>
  <r>
    <x v="2"/>
    <x v="149"/>
    <x v="12"/>
  </r>
  <r>
    <x v="2"/>
    <x v="150"/>
    <x v="12"/>
  </r>
  <r>
    <x v="2"/>
    <x v="151"/>
    <x v="12"/>
  </r>
  <r>
    <x v="2"/>
    <x v="152"/>
    <x v="12"/>
  </r>
  <r>
    <x v="2"/>
    <x v="153"/>
    <x v="12"/>
  </r>
  <r>
    <x v="2"/>
    <x v="154"/>
    <x v="12"/>
  </r>
  <r>
    <x v="2"/>
    <x v="155"/>
    <x v="12"/>
  </r>
  <r>
    <x v="2"/>
    <x v="156"/>
    <x v="12"/>
  </r>
  <r>
    <x v="2"/>
    <x v="157"/>
    <x v="12"/>
  </r>
  <r>
    <x v="2"/>
    <x v="158"/>
    <x v="12"/>
  </r>
  <r>
    <x v="2"/>
    <x v="159"/>
    <x v="12"/>
  </r>
  <r>
    <x v="2"/>
    <x v="160"/>
    <x v="12"/>
  </r>
  <r>
    <x v="2"/>
    <x v="161"/>
    <x v="12"/>
  </r>
  <r>
    <x v="2"/>
    <x v="162"/>
    <x v="12"/>
  </r>
  <r>
    <x v="2"/>
    <x v="163"/>
    <x v="12"/>
  </r>
  <r>
    <x v="2"/>
    <x v="164"/>
    <x v="12"/>
  </r>
  <r>
    <x v="2"/>
    <x v="165"/>
    <x v="12"/>
  </r>
  <r>
    <x v="2"/>
    <x v="166"/>
    <x v="12"/>
  </r>
  <r>
    <x v="2"/>
    <x v="167"/>
    <x v="12"/>
  </r>
  <r>
    <x v="2"/>
    <x v="168"/>
    <x v="12"/>
  </r>
  <r>
    <x v="2"/>
    <x v="169"/>
    <x v="12"/>
  </r>
  <r>
    <x v="2"/>
    <x v="170"/>
    <x v="12"/>
  </r>
  <r>
    <x v="2"/>
    <x v="171"/>
    <x v="12"/>
  </r>
  <r>
    <x v="2"/>
    <x v="172"/>
    <x v="12"/>
  </r>
  <r>
    <x v="2"/>
    <x v="173"/>
    <x v="12"/>
  </r>
  <r>
    <x v="2"/>
    <x v="174"/>
    <x v="12"/>
  </r>
  <r>
    <x v="2"/>
    <x v="175"/>
    <x v="12"/>
  </r>
  <r>
    <x v="2"/>
    <x v="176"/>
    <x v="12"/>
  </r>
  <r>
    <x v="2"/>
    <x v="177"/>
    <x v="12"/>
  </r>
  <r>
    <x v="2"/>
    <x v="178"/>
    <x v="12"/>
  </r>
  <r>
    <x v="2"/>
    <x v="179"/>
    <x v="12"/>
  </r>
  <r>
    <x v="2"/>
    <x v="180"/>
    <x v="12"/>
  </r>
  <r>
    <x v="2"/>
    <x v="181"/>
    <x v="12"/>
  </r>
  <r>
    <x v="2"/>
    <x v="182"/>
    <x v="12"/>
  </r>
  <r>
    <x v="2"/>
    <x v="183"/>
    <x v="12"/>
  </r>
  <r>
    <x v="2"/>
    <x v="184"/>
    <x v="12"/>
  </r>
  <r>
    <x v="2"/>
    <x v="185"/>
    <x v="12"/>
  </r>
  <r>
    <x v="2"/>
    <x v="186"/>
    <x v="12"/>
  </r>
  <r>
    <x v="2"/>
    <x v="187"/>
    <x v="12"/>
  </r>
  <r>
    <x v="2"/>
    <x v="188"/>
    <x v="12"/>
  </r>
  <r>
    <x v="2"/>
    <x v="189"/>
    <x v="12"/>
  </r>
  <r>
    <x v="2"/>
    <x v="190"/>
    <x v="12"/>
  </r>
  <r>
    <x v="2"/>
    <x v="191"/>
    <x v="12"/>
  </r>
  <r>
    <x v="2"/>
    <x v="192"/>
    <x v="12"/>
  </r>
  <r>
    <x v="2"/>
    <x v="193"/>
    <x v="12"/>
  </r>
  <r>
    <x v="2"/>
    <x v="194"/>
    <x v="12"/>
  </r>
  <r>
    <x v="2"/>
    <x v="195"/>
    <x v="12"/>
  </r>
  <r>
    <x v="2"/>
    <x v="196"/>
    <x v="12"/>
  </r>
  <r>
    <x v="2"/>
    <x v="197"/>
    <x v="12"/>
  </r>
  <r>
    <x v="2"/>
    <x v="198"/>
    <x v="12"/>
  </r>
  <r>
    <x v="2"/>
    <x v="199"/>
    <x v="12"/>
  </r>
  <r>
    <x v="2"/>
    <x v="200"/>
    <x v="12"/>
  </r>
  <r>
    <x v="2"/>
    <x v="201"/>
    <x v="12"/>
  </r>
  <r>
    <x v="2"/>
    <x v="202"/>
    <x v="12"/>
  </r>
  <r>
    <x v="2"/>
    <x v="203"/>
    <x v="12"/>
  </r>
  <r>
    <x v="2"/>
    <x v="204"/>
    <x v="12"/>
  </r>
  <r>
    <x v="2"/>
    <x v="205"/>
    <x v="12"/>
  </r>
  <r>
    <x v="2"/>
    <x v="206"/>
    <x v="12"/>
  </r>
  <r>
    <x v="2"/>
    <x v="207"/>
    <x v="12"/>
  </r>
  <r>
    <x v="2"/>
    <x v="208"/>
    <x v="12"/>
  </r>
  <r>
    <x v="2"/>
    <x v="209"/>
    <x v="12"/>
  </r>
  <r>
    <x v="2"/>
    <x v="210"/>
    <x v="12"/>
  </r>
  <r>
    <x v="2"/>
    <x v="211"/>
    <x v="12"/>
  </r>
  <r>
    <x v="2"/>
    <x v="212"/>
    <x v="12"/>
  </r>
  <r>
    <x v="2"/>
    <x v="213"/>
    <x v="12"/>
  </r>
  <r>
    <x v="2"/>
    <x v="214"/>
    <x v="12"/>
  </r>
  <r>
    <x v="2"/>
    <x v="215"/>
    <x v="12"/>
  </r>
  <r>
    <x v="2"/>
    <x v="216"/>
    <x v="12"/>
  </r>
  <r>
    <x v="2"/>
    <x v="217"/>
    <x v="12"/>
  </r>
  <r>
    <x v="2"/>
    <x v="218"/>
    <x v="12"/>
  </r>
  <r>
    <x v="2"/>
    <x v="219"/>
    <x v="12"/>
  </r>
  <r>
    <x v="2"/>
    <x v="220"/>
    <x v="12"/>
  </r>
  <r>
    <x v="2"/>
    <x v="221"/>
    <x v="12"/>
  </r>
  <r>
    <x v="2"/>
    <x v="222"/>
    <x v="12"/>
  </r>
  <r>
    <x v="2"/>
    <x v="223"/>
    <x v="12"/>
  </r>
  <r>
    <x v="2"/>
    <x v="224"/>
    <x v="12"/>
  </r>
  <r>
    <x v="2"/>
    <x v="225"/>
    <x v="12"/>
  </r>
  <r>
    <x v="2"/>
    <x v="226"/>
    <x v="12"/>
  </r>
  <r>
    <x v="2"/>
    <x v="227"/>
    <x v="12"/>
  </r>
  <r>
    <x v="2"/>
    <x v="228"/>
    <x v="12"/>
  </r>
  <r>
    <x v="2"/>
    <x v="229"/>
    <x v="12"/>
  </r>
  <r>
    <x v="2"/>
    <x v="230"/>
    <x v="12"/>
  </r>
  <r>
    <x v="2"/>
    <x v="231"/>
    <x v="12"/>
  </r>
  <r>
    <x v="2"/>
    <x v="232"/>
    <x v="12"/>
  </r>
  <r>
    <x v="2"/>
    <x v="233"/>
    <x v="12"/>
  </r>
  <r>
    <x v="2"/>
    <x v="234"/>
    <x v="12"/>
  </r>
  <r>
    <x v="2"/>
    <x v="235"/>
    <x v="12"/>
  </r>
  <r>
    <x v="2"/>
    <x v="236"/>
    <x v="12"/>
  </r>
  <r>
    <x v="2"/>
    <x v="237"/>
    <x v="12"/>
  </r>
  <r>
    <x v="2"/>
    <x v="238"/>
    <x v="12"/>
  </r>
  <r>
    <x v="2"/>
    <x v="239"/>
    <x v="12"/>
  </r>
  <r>
    <x v="2"/>
    <x v="240"/>
    <x v="12"/>
  </r>
  <r>
    <x v="2"/>
    <x v="241"/>
    <x v="12"/>
  </r>
  <r>
    <x v="2"/>
    <x v="242"/>
    <x v="12"/>
  </r>
  <r>
    <x v="2"/>
    <x v="243"/>
    <x v="12"/>
  </r>
  <r>
    <x v="2"/>
    <x v="244"/>
    <x v="12"/>
  </r>
  <r>
    <x v="2"/>
    <x v="245"/>
    <x v="12"/>
  </r>
  <r>
    <x v="2"/>
    <x v="246"/>
    <x v="12"/>
  </r>
  <r>
    <x v="2"/>
    <x v="247"/>
    <x v="12"/>
  </r>
  <r>
    <x v="2"/>
    <x v="248"/>
    <x v="12"/>
  </r>
  <r>
    <x v="2"/>
    <x v="249"/>
    <x v="12"/>
  </r>
  <r>
    <x v="2"/>
    <x v="250"/>
    <x v="12"/>
  </r>
  <r>
    <x v="2"/>
    <x v="251"/>
    <x v="12"/>
  </r>
  <r>
    <x v="2"/>
    <x v="252"/>
    <x v="12"/>
  </r>
  <r>
    <x v="2"/>
    <x v="253"/>
    <x v="12"/>
  </r>
  <r>
    <x v="2"/>
    <x v="254"/>
    <x v="12"/>
  </r>
  <r>
    <x v="2"/>
    <x v="255"/>
    <x v="12"/>
  </r>
  <r>
    <x v="2"/>
    <x v="256"/>
    <x v="12"/>
  </r>
  <r>
    <x v="2"/>
    <x v="257"/>
    <x v="12"/>
  </r>
  <r>
    <x v="2"/>
    <x v="258"/>
    <x v="12"/>
  </r>
  <r>
    <x v="2"/>
    <x v="259"/>
    <x v="12"/>
  </r>
  <r>
    <x v="2"/>
    <x v="260"/>
    <x v="12"/>
  </r>
  <r>
    <x v="2"/>
    <x v="261"/>
    <x v="12"/>
  </r>
  <r>
    <x v="2"/>
    <x v="262"/>
    <x v="12"/>
  </r>
  <r>
    <x v="2"/>
    <x v="263"/>
    <x v="12"/>
  </r>
  <r>
    <x v="2"/>
    <x v="264"/>
    <x v="12"/>
  </r>
  <r>
    <x v="2"/>
    <x v="265"/>
    <x v="12"/>
  </r>
  <r>
    <x v="2"/>
    <x v="266"/>
    <x v="12"/>
  </r>
  <r>
    <x v="2"/>
    <x v="267"/>
    <x v="12"/>
  </r>
  <r>
    <x v="2"/>
    <x v="268"/>
    <x v="12"/>
  </r>
  <r>
    <x v="2"/>
    <x v="269"/>
    <x v="12"/>
  </r>
  <r>
    <x v="2"/>
    <x v="270"/>
    <x v="12"/>
  </r>
  <r>
    <x v="2"/>
    <x v="271"/>
    <x v="12"/>
  </r>
  <r>
    <x v="2"/>
    <x v="272"/>
    <x v="12"/>
  </r>
  <r>
    <x v="2"/>
    <x v="273"/>
    <x v="12"/>
  </r>
  <r>
    <x v="2"/>
    <x v="274"/>
    <x v="12"/>
  </r>
  <r>
    <x v="2"/>
    <x v="275"/>
    <x v="12"/>
  </r>
  <r>
    <x v="2"/>
    <x v="276"/>
    <x v="12"/>
  </r>
  <r>
    <x v="2"/>
    <x v="277"/>
    <x v="12"/>
  </r>
  <r>
    <x v="2"/>
    <x v="278"/>
    <x v="12"/>
  </r>
  <r>
    <x v="2"/>
    <x v="279"/>
    <x v="12"/>
  </r>
  <r>
    <x v="2"/>
    <x v="280"/>
    <x v="12"/>
  </r>
  <r>
    <x v="2"/>
    <x v="281"/>
    <x v="12"/>
  </r>
  <r>
    <x v="2"/>
    <x v="282"/>
    <x v="12"/>
  </r>
  <r>
    <x v="2"/>
    <x v="283"/>
    <x v="12"/>
  </r>
  <r>
    <x v="2"/>
    <x v="284"/>
    <x v="12"/>
  </r>
  <r>
    <x v="2"/>
    <x v="285"/>
    <x v="12"/>
  </r>
  <r>
    <x v="2"/>
    <x v="286"/>
    <x v="12"/>
  </r>
  <r>
    <x v="2"/>
    <x v="287"/>
    <x v="12"/>
  </r>
  <r>
    <x v="2"/>
    <x v="288"/>
    <x v="12"/>
  </r>
  <r>
    <x v="2"/>
    <x v="289"/>
    <x v="12"/>
  </r>
  <r>
    <x v="2"/>
    <x v="290"/>
    <x v="12"/>
  </r>
  <r>
    <x v="2"/>
    <x v="291"/>
    <x v="12"/>
  </r>
  <r>
    <x v="2"/>
    <x v="292"/>
    <x v="12"/>
  </r>
  <r>
    <x v="2"/>
    <x v="293"/>
    <x v="12"/>
  </r>
  <r>
    <x v="2"/>
    <x v="294"/>
    <x v="12"/>
  </r>
  <r>
    <x v="2"/>
    <x v="295"/>
    <x v="12"/>
  </r>
  <r>
    <x v="2"/>
    <x v="296"/>
    <x v="12"/>
  </r>
  <r>
    <x v="2"/>
    <x v="297"/>
    <x v="12"/>
  </r>
  <r>
    <x v="2"/>
    <x v="298"/>
    <x v="12"/>
  </r>
  <r>
    <x v="2"/>
    <x v="299"/>
    <x v="12"/>
  </r>
  <r>
    <x v="2"/>
    <x v="300"/>
    <x v="12"/>
  </r>
  <r>
    <x v="2"/>
    <x v="301"/>
    <x v="12"/>
  </r>
  <r>
    <x v="2"/>
    <x v="302"/>
    <x v="12"/>
  </r>
  <r>
    <x v="2"/>
    <x v="303"/>
    <x v="12"/>
  </r>
  <r>
    <x v="2"/>
    <x v="304"/>
    <x v="12"/>
  </r>
  <r>
    <x v="2"/>
    <x v="305"/>
    <x v="12"/>
  </r>
  <r>
    <x v="2"/>
    <x v="306"/>
    <x v="12"/>
  </r>
  <r>
    <x v="2"/>
    <x v="307"/>
    <x v="12"/>
  </r>
  <r>
    <x v="2"/>
    <x v="308"/>
    <x v="12"/>
  </r>
  <r>
    <x v="2"/>
    <x v="309"/>
    <x v="12"/>
  </r>
  <r>
    <x v="2"/>
    <x v="310"/>
    <x v="12"/>
  </r>
  <r>
    <x v="2"/>
    <x v="311"/>
    <x v="12"/>
  </r>
  <r>
    <x v="2"/>
    <x v="312"/>
    <x v="12"/>
  </r>
  <r>
    <x v="2"/>
    <x v="313"/>
    <x v="12"/>
  </r>
  <r>
    <x v="2"/>
    <x v="314"/>
    <x v="12"/>
  </r>
  <r>
    <x v="2"/>
    <x v="315"/>
    <x v="12"/>
  </r>
  <r>
    <x v="2"/>
    <x v="316"/>
    <x v="12"/>
  </r>
  <r>
    <x v="2"/>
    <x v="317"/>
    <x v="12"/>
  </r>
  <r>
    <x v="2"/>
    <x v="318"/>
    <x v="12"/>
  </r>
  <r>
    <x v="2"/>
    <x v="319"/>
    <x v="12"/>
  </r>
  <r>
    <x v="2"/>
    <x v="320"/>
    <x v="12"/>
  </r>
  <r>
    <x v="2"/>
    <x v="321"/>
    <x v="12"/>
  </r>
  <r>
    <x v="2"/>
    <x v="322"/>
    <x v="12"/>
  </r>
  <r>
    <x v="2"/>
    <x v="323"/>
    <x v="12"/>
  </r>
  <r>
    <x v="2"/>
    <x v="324"/>
    <x v="12"/>
  </r>
  <r>
    <x v="2"/>
    <x v="325"/>
    <x v="12"/>
  </r>
  <r>
    <x v="2"/>
    <x v="326"/>
    <x v="12"/>
  </r>
  <r>
    <x v="2"/>
    <x v="327"/>
    <x v="12"/>
  </r>
  <r>
    <x v="2"/>
    <x v="328"/>
    <x v="12"/>
  </r>
  <r>
    <x v="2"/>
    <x v="329"/>
    <x v="12"/>
  </r>
  <r>
    <x v="2"/>
    <x v="330"/>
    <x v="12"/>
  </r>
  <r>
    <x v="2"/>
    <x v="331"/>
    <x v="12"/>
  </r>
  <r>
    <x v="2"/>
    <x v="332"/>
    <x v="12"/>
  </r>
  <r>
    <x v="2"/>
    <x v="333"/>
    <x v="12"/>
  </r>
  <r>
    <x v="2"/>
    <x v="334"/>
    <x v="12"/>
  </r>
  <r>
    <x v="2"/>
    <x v="335"/>
    <x v="12"/>
  </r>
  <r>
    <x v="2"/>
    <x v="336"/>
    <x v="12"/>
  </r>
  <r>
    <x v="2"/>
    <x v="337"/>
    <x v="12"/>
  </r>
  <r>
    <x v="2"/>
    <x v="338"/>
    <x v="12"/>
  </r>
  <r>
    <x v="2"/>
    <x v="339"/>
    <x v="12"/>
  </r>
  <r>
    <x v="2"/>
    <x v="340"/>
    <x v="12"/>
  </r>
  <r>
    <x v="2"/>
    <x v="341"/>
    <x v="12"/>
  </r>
  <r>
    <x v="2"/>
    <x v="342"/>
    <x v="12"/>
  </r>
  <r>
    <x v="2"/>
    <x v="343"/>
    <x v="12"/>
  </r>
  <r>
    <x v="2"/>
    <x v="344"/>
    <x v="12"/>
  </r>
  <r>
    <x v="2"/>
    <x v="345"/>
    <x v="12"/>
  </r>
  <r>
    <x v="2"/>
    <x v="346"/>
    <x v="12"/>
  </r>
  <r>
    <x v="2"/>
    <x v="347"/>
    <x v="12"/>
  </r>
  <r>
    <x v="2"/>
    <x v="348"/>
    <x v="12"/>
  </r>
  <r>
    <x v="2"/>
    <x v="349"/>
    <x v="12"/>
  </r>
  <r>
    <x v="2"/>
    <x v="350"/>
    <x v="12"/>
  </r>
  <r>
    <x v="2"/>
    <x v="351"/>
    <x v="12"/>
  </r>
  <r>
    <x v="2"/>
    <x v="35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5"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22:B29" firstHeaderRow="1" firstDataRow="1" firstDataCol="1"/>
  <pivotFields count="17">
    <pivotField showAll="0"/>
    <pivotField showAll="0"/>
    <pivotField showAll="0">
      <items count="5">
        <item x="1"/>
        <item x="0"/>
        <item x="2"/>
        <item x="3"/>
        <item t="default"/>
      </items>
    </pivotField>
    <pivotField showAll="0">
      <items count="6">
        <item sd="0" x="0"/>
        <item sd="0" x="4"/>
        <item sd="0" x="3"/>
        <item sd="0" x="2"/>
        <item sd="0"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axis="axisRow" showAll="0">
      <items count="7">
        <item x="3"/>
        <item x="0"/>
        <item x="1"/>
        <item x="5"/>
        <item x="2"/>
        <item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sd="0" x="0"/>
      </items>
    </pivotField>
  </pivotFields>
  <rowFields count="1">
    <field x="9"/>
  </rowFields>
  <rowItems count="7">
    <i>
      <x/>
    </i>
    <i>
      <x v="1"/>
    </i>
    <i>
      <x v="2"/>
    </i>
    <i>
      <x v="3"/>
    </i>
    <i>
      <x v="4"/>
    </i>
    <i>
      <x v="5"/>
    </i>
    <i t="grand">
      <x/>
    </i>
  </rowItems>
  <colItems count="1">
    <i/>
  </colItems>
  <dataFields count="1">
    <dataField name="Sum of Total Sales" fld="12" baseField="9" baseItem="0">
      <extLst>
        <ext xmlns:x14="http://schemas.microsoft.com/office/spreadsheetml/2009/9/main" uri="{E15A36E0-9728-4e99-A89B-3F7291B0FE68}">
          <x14:dataField pivotShowAs="rankDescending"/>
        </ext>
      </extLst>
    </dataField>
  </dataFields>
  <formats count="8">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2" type="button" dataOnly="0" labelOnly="1" outline="0"/>
    </format>
    <format dxfId="111">
      <pivotArea type="topRight" dataOnly="0" labelOnly="1" outline="0" fieldPosition="0"/>
    </format>
    <format dxfId="110">
      <pivotArea field="3" type="button" dataOnly="0" labelOnly="1" outline="0"/>
    </format>
    <format dxfId="109">
      <pivotArea dataOnly="0" labelOnly="1" grandRow="1" outline="0" fieldPosition="0"/>
    </format>
    <format dxfId="108">
      <pivotArea dataOnly="0" labelOnly="1" grandCol="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6"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K2:K3"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Items count="1">
    <i/>
  </rowItems>
  <colItems count="1">
    <i/>
  </colItems>
  <dataFields count="1">
    <dataField name="Sum of Total Sales" fld="12" baseField="0" baseItem="0"/>
  </dataFields>
  <formats count="8">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2" type="button" dataOnly="0" labelOnly="1" outline="0"/>
    </format>
    <format dxfId="119">
      <pivotArea type="topRight" dataOnly="0" labelOnly="1" outline="0" fieldPosition="0"/>
    </format>
    <format dxfId="118">
      <pivotArea field="3" type="button" dataOnly="0" labelOnly="1" outline="0"/>
    </format>
    <format dxfId="117">
      <pivotArea dataOnly="0" labelOnly="1" grandRow="1" outline="0" fieldPosition="0"/>
    </format>
    <format dxfId="11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4">
  <location ref="A2:F9" firstHeaderRow="1" firstDataRow="2" firstDataCol="1"/>
  <pivotFields count="17">
    <pivotField showAll="0"/>
    <pivotField showAll="0"/>
    <pivotField axis="axisCol" showAll="0">
      <items count="5">
        <item x="1"/>
        <item x="0"/>
        <item x="2"/>
        <item x="3"/>
        <item t="default"/>
      </items>
    </pivotField>
    <pivotField axis="axisRow"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Total Sales" fld="12" baseField="0" baseItem="0"/>
  </dataFields>
  <formats count="10">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2" type="button" dataOnly="0" labelOnly="1" outline="0" axis="axisCol" fieldPosition="0"/>
    </format>
    <format dxfId="129">
      <pivotArea type="topRight" dataOnly="0" labelOnly="1" outline="0" fieldPosition="0"/>
    </format>
    <format dxfId="128">
      <pivotArea field="3" type="button" dataOnly="0" labelOnly="1" outline="0" axis="axisRow" fieldPosition="0"/>
    </format>
    <format dxfId="127">
      <pivotArea dataOnly="0" labelOnly="1" fieldPosition="0">
        <references count="1">
          <reference field="3" count="0"/>
        </references>
      </pivotArea>
    </format>
    <format dxfId="126">
      <pivotArea dataOnly="0" labelOnly="1" grandRow="1" outline="0" fieldPosition="0"/>
    </format>
    <format dxfId="125">
      <pivotArea dataOnly="0" labelOnly="1" fieldPosition="0">
        <references count="1">
          <reference field="2" count="0"/>
        </references>
      </pivotArea>
    </format>
    <format dxfId="124">
      <pivotArea dataOnly="0" labelOnly="1" grandCol="1" outline="0" fieldPosition="0"/>
    </format>
  </format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
  <location ref="A12:B18" firstHeaderRow="1" firstDataRow="1" firstDataCol="1"/>
  <pivotFields count="17">
    <pivotField showAll="0"/>
    <pivotField showAll="0"/>
    <pivotField showAll="0">
      <items count="5">
        <item x="1"/>
        <item x="0"/>
        <item x="2"/>
        <item x="3"/>
        <item t="default"/>
      </items>
    </pivotField>
    <pivotField axis="axisRow" showAll="0">
      <items count="6">
        <item sd="0" x="0"/>
        <item sd="0" x="4"/>
        <item sd="0" x="3"/>
        <item sd="0" x="2"/>
        <item sd="0" x="1"/>
        <item t="default"/>
      </items>
    </pivotField>
    <pivotField showAll="0"/>
    <pivotField showAll="0"/>
    <pivotField showAll="0"/>
    <pivotField axis="axisRow"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axis="axisRow" showAll="0" defaultSubtotal="0">
      <items count="1">
        <item sd="0" x="0"/>
      </items>
    </pivotField>
  </pivotFields>
  <rowFields count="3">
    <field x="3"/>
    <field x="16"/>
    <field x="7"/>
  </rowFields>
  <rowItems count="6">
    <i>
      <x/>
    </i>
    <i>
      <x v="1"/>
    </i>
    <i>
      <x v="2"/>
    </i>
    <i>
      <x v="3"/>
    </i>
    <i>
      <x v="4"/>
    </i>
    <i t="grand">
      <x/>
    </i>
  </rowItems>
  <colItems count="1">
    <i/>
  </colItems>
  <dataFields count="1">
    <dataField name="Sum of Total Sales" fld="12" baseField="0" baseItem="0"/>
  </dataFields>
  <formats count="9">
    <format dxfId="142">
      <pivotArea type="all" dataOnly="0" outline="0" fieldPosition="0"/>
    </format>
    <format dxfId="141">
      <pivotArea outline="0" collapsedLevelsAreSubtotals="1" fieldPosition="0"/>
    </format>
    <format dxfId="140">
      <pivotArea type="origin" dataOnly="0" labelOnly="1" outline="0" fieldPosition="0"/>
    </format>
    <format dxfId="139">
      <pivotArea field="2" type="button" dataOnly="0" labelOnly="1" outline="0"/>
    </format>
    <format dxfId="138">
      <pivotArea type="topRight" dataOnly="0" labelOnly="1" outline="0" fieldPosition="0"/>
    </format>
    <format dxfId="137">
      <pivotArea field="3" type="button" dataOnly="0" labelOnly="1" outline="0" axis="axisRow" fieldPosition="0"/>
    </format>
    <format dxfId="136">
      <pivotArea dataOnly="0" labelOnly="1" fieldPosition="0">
        <references count="1">
          <reference field="3" count="0"/>
        </references>
      </pivotArea>
    </format>
    <format dxfId="135">
      <pivotArea dataOnly="0" labelOnly="1" grandRow="1" outline="0" fieldPosition="0"/>
    </format>
    <format dxfId="13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F11DF9-A334-4013-95DF-A211F5B0FB4C}" name="PivotTable5"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L2:L3"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showAll="0"/>
    <pivotField dataField="1" showAll="0"/>
    <pivotField showAll="0"/>
    <pivotField showAll="0">
      <items count="4">
        <item x="0"/>
        <item x="1"/>
        <item x="2"/>
        <item t="default"/>
      </items>
    </pivotField>
    <pivotField showAll="0" defaultSubtotal="0">
      <items count="1">
        <item x="0"/>
      </items>
    </pivotField>
  </pivotFields>
  <rowItems count="1">
    <i/>
  </rowItems>
  <colItems count="1">
    <i/>
  </colItems>
  <dataFields count="1">
    <dataField name="Sum of Profit" fld="13" baseField="0" baseItem="0"/>
  </dataFields>
  <formats count="9">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2" type="button" dataOnly="0" labelOnly="1" outline="0"/>
    </format>
    <format dxfId="147">
      <pivotArea type="topRight" dataOnly="0" labelOnly="1" outline="0" fieldPosition="0"/>
    </format>
    <format dxfId="146">
      <pivotArea field="3" type="button" dataOnly="0" labelOnly="1" outline="0"/>
    </format>
    <format dxfId="145">
      <pivotArea dataOnly="0" labelOnly="1" grandRow="1" outline="0" fieldPosition="0"/>
    </format>
    <format dxfId="144">
      <pivotArea dataOnly="0" labelOnly="1" grandCol="1" outline="0" fieldPosition="0"/>
    </format>
    <format dxfId="14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2F87BB-671D-436F-AD09-70C0F195BEB9}" name="PivotTable6" cacheId="2"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6">
  <location ref="K4:K5"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showAll="0"/>
    <pivotField showAll="0"/>
    <pivotField dataField="1" showAll="0"/>
    <pivotField showAll="0">
      <items count="4">
        <item x="0"/>
        <item x="1"/>
        <item x="2"/>
        <item t="default"/>
      </items>
    </pivotField>
    <pivotField showAll="0" defaultSubtotal="0">
      <items count="1">
        <item x="0"/>
      </items>
    </pivotField>
  </pivotFields>
  <rowItems count="1">
    <i/>
  </rowItems>
  <colItems count="1">
    <i/>
  </colItems>
  <dataFields count="1">
    <dataField name="Count of Order Status" fld="14" subtotal="count" baseField="0" baseItem="0"/>
  </dataFields>
  <formats count="8">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2" type="button" dataOnly="0" labelOnly="1" outline="0"/>
    </format>
    <format dxfId="155">
      <pivotArea type="topRight" dataOnly="0" labelOnly="1" outline="0" fieldPosition="0"/>
    </format>
    <format dxfId="154">
      <pivotArea field="3" type="button" dataOnly="0" labelOnly="1" outline="0"/>
    </format>
    <format dxfId="153">
      <pivotArea dataOnly="0" labelOnly="1" grandRow="1" outline="0" fieldPosition="0"/>
    </format>
    <format dxfId="15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H24:I30" firstHeaderRow="1" firstDataRow="1" firstDataCol="1"/>
  <pivotFields count="17">
    <pivotField showAll="0"/>
    <pivotField showAll="0"/>
    <pivotField showAll="0">
      <items count="5">
        <item x="1"/>
        <item x="0"/>
        <item x="2"/>
        <item x="3"/>
        <item t="default"/>
      </items>
    </pivotField>
    <pivotField axis="axisRow"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3"/>
  </rowFields>
  <rowItems count="6">
    <i>
      <x/>
    </i>
    <i>
      <x v="1"/>
    </i>
    <i>
      <x v="2"/>
    </i>
    <i>
      <x v="3"/>
    </i>
    <i>
      <x v="4"/>
    </i>
    <i t="grand">
      <x/>
    </i>
  </rowItems>
  <colItems count="1">
    <i/>
  </colItems>
  <dataFields count="1">
    <dataField name="Sum of Total Sales" fld="12" baseField="0" baseItem="0"/>
  </dataFields>
  <formats count="8">
    <format dxfId="167">
      <pivotArea type="all" dataOnly="0" outline="0" fieldPosition="0"/>
    </format>
    <format dxfId="166">
      <pivotArea outline="0" collapsedLevelsAreSubtotals="1" fieldPosition="0"/>
    </format>
    <format dxfId="165">
      <pivotArea type="origin" dataOnly="0" labelOnly="1" outline="0" fieldPosition="0"/>
    </format>
    <format dxfId="164">
      <pivotArea field="2" type="button" dataOnly="0" labelOnly="1" outline="0"/>
    </format>
    <format dxfId="163">
      <pivotArea type="topRight" dataOnly="0" labelOnly="1" outline="0" fieldPosition="0"/>
    </format>
    <format dxfId="162">
      <pivotArea field="3" type="button" dataOnly="0" labelOnly="1" outline="0" axis="axisRow" fieldPosition="0"/>
    </format>
    <format dxfId="161">
      <pivotArea dataOnly="0" labelOnly="1" grandRow="1" outline="0" fieldPosition="0"/>
    </format>
    <format dxfId="160">
      <pivotArea dataOnly="0" labelOnly="1" grandCol="1" outline="0"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DE79DB-53F5-40FE-A483-49F62EED660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3:L46" firstHeaderRow="1" firstDataRow="1" firstDataCol="1"/>
  <pivotFields count="3">
    <pivotField axis="axisRow" showAll="0">
      <items count="3">
        <item x="0"/>
        <item x="1"/>
        <item t="default"/>
      </items>
    </pivotField>
    <pivotField dataField="1" showAll="0"/>
    <pivotField showAll="0"/>
  </pivotFields>
  <rowFields count="1">
    <field x="0"/>
  </rowFields>
  <rowItems count="3">
    <i>
      <x/>
    </i>
    <i>
      <x v="1"/>
    </i>
    <i t="grand">
      <x/>
    </i>
  </rowItems>
  <colItems count="1">
    <i/>
  </colItems>
  <dataFields count="1">
    <dataField name="Count of Month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G12:H17" firstHeaderRow="1" firstDataRow="1" firstDataCol="1"/>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axis="axisRow"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10"/>
  </rowFields>
  <rowItems count="5">
    <i>
      <x/>
    </i>
    <i>
      <x v="1"/>
    </i>
    <i>
      <x v="2"/>
    </i>
    <i>
      <x v="3"/>
    </i>
    <i t="grand">
      <x/>
    </i>
  </rowItems>
  <colItems count="1">
    <i/>
  </colItems>
  <dataFields count="1">
    <dataField name="Sum of Total Sales" fld="12" baseField="0" baseItem="0"/>
  </dataFields>
  <formats count="8">
    <format dxfId="175">
      <pivotArea type="all" dataOnly="0" outline="0" fieldPosition="0"/>
    </format>
    <format dxfId="174">
      <pivotArea outline="0" collapsedLevelsAreSubtotals="1" fieldPosition="0"/>
    </format>
    <format dxfId="173">
      <pivotArea type="origin" dataOnly="0" labelOnly="1" outline="0" fieldPosition="0"/>
    </format>
    <format dxfId="172">
      <pivotArea field="2" type="button" dataOnly="0" labelOnly="1" outline="0"/>
    </format>
    <format dxfId="171">
      <pivotArea type="topRight" dataOnly="0" labelOnly="1" outline="0" fieldPosition="0"/>
    </format>
    <format dxfId="170">
      <pivotArea field="3" type="button" dataOnly="0" labelOnly="1" outline="0"/>
    </format>
    <format dxfId="169">
      <pivotArea dataOnly="0" labelOnly="1" grandRow="1" outline="0" fieldPosition="0"/>
    </format>
    <format dxfId="16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2" applyNumberFormats="0" applyBorderFormats="0" applyFontFormats="0" applyPatternFormats="0" applyAlignmentFormats="0" applyWidthHeightFormats="1" dataCaption="Values" updatedVersion="7" minRefreshableVersion="3" itemPrintTitles="1" createdVersion="8" indent="0" outline="1" outlineData="1" multipleFieldFilters="0">
  <location ref="D34:D597" firstHeaderRow="1" firstDataRow="1" firstDataCol="1"/>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axis="axisRow"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showAll="0"/>
    <pivotField showAll="0">
      <items count="4">
        <item x="0"/>
        <item x="1"/>
        <item x="2"/>
        <item t="default"/>
      </items>
    </pivotField>
    <pivotField showAll="0" defaultSubtotal="0">
      <items count="1">
        <item x="0"/>
      </items>
    </pivotField>
  </pivotFields>
  <rowFields count="1">
    <field x="7"/>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Items count="1">
    <i/>
  </colItems>
  <formats count="8">
    <format dxfId="183">
      <pivotArea type="all" dataOnly="0" outline="0" fieldPosition="0"/>
    </format>
    <format dxfId="182">
      <pivotArea outline="0" collapsedLevelsAreSubtotals="1" fieldPosition="0"/>
    </format>
    <format dxfId="181">
      <pivotArea type="origin" dataOnly="0" labelOnly="1" outline="0" fieldPosition="0"/>
    </format>
    <format dxfId="180">
      <pivotArea field="2" type="button" dataOnly="0" labelOnly="1" outline="0"/>
    </format>
    <format dxfId="179">
      <pivotArea type="topRight" dataOnly="0" labelOnly="1" outline="0" fieldPosition="0"/>
    </format>
    <format dxfId="178">
      <pivotArea field="3" type="button" dataOnly="0" labelOnly="1" outline="0"/>
    </format>
    <format dxfId="177">
      <pivotArea dataOnly="0" labelOnly="1" grandRow="1" outline="0" fieldPosition="0"/>
    </format>
    <format dxfId="17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019A45-5D70-48E3-A139-1E5691910ED8}" name="PivotTable10" cacheId="2" applyNumberFormats="0" applyBorderFormats="0" applyFontFormats="0" applyPatternFormats="0" applyAlignmentFormats="0" applyWidthHeightFormats="1" dataCaption="Values" updatedVersion="7" minRefreshableVersion="3" itemPrintTitles="1" createdVersion="8" indent="0" outline="1" outlineData="1" multipleFieldFilters="0" chartFormat="6">
  <location ref="L4:L5" firstHeaderRow="1" firstDataRow="1" firstDataCol="0"/>
  <pivotFields count="17">
    <pivotField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Items count="1">
    <i/>
  </rowItems>
  <colItems count="1">
    <i/>
  </colItems>
  <dataFields count="1">
    <dataField name="Average of Total Sales" fld="12" subtotal="average" baseField="0" baseItem="0"/>
  </dataFields>
  <formats count="8">
    <format dxfId="191">
      <pivotArea type="all" dataOnly="0" outline="0" fieldPosition="0"/>
    </format>
    <format dxfId="190">
      <pivotArea outline="0" collapsedLevelsAreSubtotals="1" fieldPosition="0"/>
    </format>
    <format dxfId="189">
      <pivotArea type="origin" dataOnly="0" labelOnly="1" outline="0" fieldPosition="0"/>
    </format>
    <format dxfId="188">
      <pivotArea field="2" type="button" dataOnly="0" labelOnly="1" outline="0"/>
    </format>
    <format dxfId="187">
      <pivotArea type="topRight" dataOnly="0" labelOnly="1" outline="0" fieldPosition="0"/>
    </format>
    <format dxfId="186">
      <pivotArea field="3" type="button" dataOnly="0" labelOnly="1" outline="0"/>
    </format>
    <format dxfId="185">
      <pivotArea dataOnly="0" labelOnly="1" grandRow="1" outline="0" fieldPosition="0"/>
    </format>
    <format dxfId="18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H2:I7" firstHeaderRow="1" firstDataRow="1" firstDataCol="1"/>
  <pivotFields count="17">
    <pivotField showAll="0"/>
    <pivotField showAll="0"/>
    <pivotField axis="axisRow"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2"/>
  </rowFields>
  <rowItems count="5">
    <i>
      <x/>
    </i>
    <i>
      <x v="1"/>
    </i>
    <i>
      <x v="2"/>
    </i>
    <i>
      <x v="3"/>
    </i>
    <i t="grand">
      <x/>
    </i>
  </rowItems>
  <colItems count="1">
    <i/>
  </colItems>
  <dataFields count="1">
    <dataField name="Sum of Total Sales" fld="12" baseField="0" baseItem="0"/>
  </dataFields>
  <formats count="8">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2" type="button" dataOnly="0" labelOnly="1" outline="0" axis="axisRow" fieldPosition="0"/>
    </format>
    <format dxfId="195">
      <pivotArea type="topRight" dataOnly="0" labelOnly="1" outline="0" fieldPosition="0"/>
    </format>
    <format dxfId="194">
      <pivotArea field="3" type="button" dataOnly="0" labelOnly="1" outline="0"/>
    </format>
    <format dxfId="193">
      <pivotArea dataOnly="0" labelOnly="1" grandRow="1" outline="0" fieldPosition="0"/>
    </format>
    <format dxfId="192">
      <pivotArea dataOnly="0" labelOnly="1" grandCol="1" outline="0"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J12:K17" firstHeaderRow="1" firstDataRow="1" firstDataCol="1"/>
  <pivotFields count="17">
    <pivotField dataField="1" showAll="0"/>
    <pivotField showAll="0"/>
    <pivotField showAll="0">
      <items count="5">
        <item x="1"/>
        <item x="0"/>
        <item x="2"/>
        <item x="3"/>
        <item t="default"/>
      </items>
    </pivotField>
    <pivotField showAll="0">
      <items count="6">
        <item x="0"/>
        <item x="4"/>
        <item x="3"/>
        <item x="2"/>
        <item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axis="axisRow" showAll="0">
      <items count="5">
        <item x="3"/>
        <item x="0"/>
        <item x="2"/>
        <item x="1"/>
        <item t="default"/>
      </items>
    </pivotField>
    <pivotField showAll="0">
      <items count="4">
        <item x="0"/>
        <item x="1"/>
        <item x="2"/>
        <item t="default"/>
      </items>
    </pivotField>
    <pivotField showAll="0" defaultSubtotal="0">
      <items count="1">
        <item x="0"/>
      </items>
    </pivotField>
  </pivotFields>
  <rowFields count="1">
    <field x="14"/>
  </rowFields>
  <rowItems count="5">
    <i>
      <x/>
    </i>
    <i>
      <x v="1"/>
    </i>
    <i>
      <x v="2"/>
    </i>
    <i>
      <x v="3"/>
    </i>
    <i t="grand">
      <x/>
    </i>
  </rowItems>
  <colItems count="1">
    <i/>
  </colItems>
  <dataFields count="1">
    <dataField name="Sum of Customer ID" fld="0" baseField="0" baseItem="0"/>
  </dataFields>
  <formats count="8">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2" type="button" dataOnly="0" labelOnly="1" outline="0"/>
    </format>
    <format dxfId="203">
      <pivotArea type="topRight" dataOnly="0" labelOnly="1" outline="0" fieldPosition="0"/>
    </format>
    <format dxfId="202">
      <pivotArea field="3" type="button" dataOnly="0" labelOnly="1" outline="0"/>
    </format>
    <format dxfId="201">
      <pivotArea dataOnly="0" labelOnly="1" grandRow="1" outline="0" fieldPosition="0"/>
    </format>
    <format dxfId="20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7"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K24:L41" firstHeaderRow="1" firstDataRow="1" firstDataCol="1"/>
  <pivotFields count="17">
    <pivotField showAll="0"/>
    <pivotField showAll="0"/>
    <pivotField showAll="0">
      <items count="5">
        <item x="1"/>
        <item x="0"/>
        <item x="2"/>
        <item x="3"/>
        <item t="default"/>
      </items>
    </pivotField>
    <pivotField showAll="0">
      <items count="6">
        <item x="0"/>
        <item x="4"/>
        <item x="3"/>
        <item x="2"/>
        <item x="1"/>
        <item t="default"/>
      </items>
    </pivotField>
    <pivotField axis="axisRow" showAll="0">
      <items count="17">
        <item x="6"/>
        <item x="9"/>
        <item x="3"/>
        <item x="4"/>
        <item x="2"/>
        <item x="13"/>
        <item x="11"/>
        <item x="8"/>
        <item x="1"/>
        <item x="14"/>
        <item x="7"/>
        <item x="12"/>
        <item x="0"/>
        <item x="10"/>
        <item x="5"/>
        <item x="15"/>
        <item t="default"/>
      </items>
    </pivotField>
    <pivotField dataField="1"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showAll="0">
      <items count="5">
        <item x="3"/>
        <item x="0"/>
        <item x="2"/>
        <item x="1"/>
        <item t="default"/>
      </items>
    </pivotField>
    <pivotField showAll="0">
      <items count="4">
        <item x="0"/>
        <item x="1"/>
        <item x="2"/>
        <item t="default"/>
      </items>
    </pivotField>
    <pivotField showAll="0" defaultSubtotal="0">
      <items count="1">
        <item x="0"/>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Quantity" fld="5" baseField="0" baseItem="0"/>
  </dataFields>
  <formats count="8">
    <format dxfId="215">
      <pivotArea type="all" dataOnly="0" outline="0" fieldPosition="0"/>
    </format>
    <format dxfId="214">
      <pivotArea outline="0" collapsedLevelsAreSubtotals="1" fieldPosition="0"/>
    </format>
    <format dxfId="213">
      <pivotArea type="origin" dataOnly="0" labelOnly="1" outline="0" fieldPosition="0"/>
    </format>
    <format dxfId="212">
      <pivotArea field="2" type="button" dataOnly="0" labelOnly="1" outline="0"/>
    </format>
    <format dxfId="211">
      <pivotArea type="topRight" dataOnly="0" labelOnly="1" outline="0" fieldPosition="0"/>
    </format>
    <format dxfId="210">
      <pivotArea field="3" type="button" dataOnly="0" labelOnly="1" outline="0"/>
    </format>
    <format dxfId="209">
      <pivotArea dataOnly="0" labelOnly="1" grandRow="1" outline="0" fieldPosition="0"/>
    </format>
    <format dxfId="208">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357</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3" name="PivotTable1"/>
    <pivotTable tabId="3" name="PivotTable10"/>
    <pivotTable tabId="3" name="PivotTable13"/>
    <pivotTable tabId="3" name="PivotTable15"/>
    <pivotTable tabId="3" name="PivotTable16"/>
    <pivotTable tabId="3" name="PivotTable17"/>
    <pivotTable tabId="3" name="PivotTable2"/>
    <pivotTable tabId="3" name="PivotTable3"/>
    <pivotTable tabId="3" name="PivotTable5"/>
    <pivotTable tabId="3" name="PivotTable6"/>
    <pivotTable tabId="3" name="PivotTable7"/>
    <pivotTable tabId="3" name="PivotTable8"/>
    <pivotTable tabId="3" name="PivotTable9"/>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3" name="PivotTable1"/>
    <pivotTable tabId="3" name="PivotTable10"/>
    <pivotTable tabId="3" name="PivotTable13"/>
    <pivotTable tabId="3" name="PivotTable15"/>
    <pivotTable tabId="3" name="PivotTable16"/>
    <pivotTable tabId="3" name="PivotTable17"/>
    <pivotTable tabId="3" name="PivotTable2"/>
    <pivotTable tabId="3" name="PivotTable3"/>
    <pivotTable tabId="3" name="PivotTable6"/>
    <pivotTable tabId="3" name="PivotTable7"/>
    <pivotTable tabId="3" name="PivotTable8"/>
    <pivotTable tabId="3" name="PivotTable9"/>
  </pivotTables>
  <data>
    <tabular pivotCacheId="1">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4000000}" sourceName="Customer Type">
  <pivotTables>
    <pivotTable tabId="3" name="PivotTable8"/>
    <pivotTable tabId="3" name="PivotTable13"/>
    <pivotTable tabId="3" name="PivotTable16"/>
    <pivotTable tabId="3" name="PivotTable5"/>
    <pivotTable tabId="3" name="PivotTable6"/>
    <pivotTable tabId="3" name="PivotTable10"/>
    <pivotTable tabId="3" name="PivotTable1"/>
    <pivotTable tabId="3" name="PivotTable15"/>
    <pivotTable tabId="3" name="PivotTable17"/>
    <pivotTable tabId="3" name="PivotTable2"/>
    <pivotTable tabId="3" name="PivotTable3"/>
    <pivotTable tabId="3" name="PivotTable7"/>
    <pivotTable tabId="3" name="PivotTable9"/>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0000000-0013-0000-FFFF-FFFF05000000}" sourceName="Months">
  <data>
    <tabular pivotCacheId="2">
      <items count="35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3000000}" sourceName="Payment Mode">
  <pivotTables>
    <pivotTable tabId="3" name="PivotTable1"/>
    <pivotTable tabId="3" name="PivotTable10"/>
    <pivotTable tabId="3" name="PivotTable13"/>
    <pivotTable tabId="3" name="PivotTable15"/>
    <pivotTable tabId="3" name="PivotTable16"/>
    <pivotTable tabId="3" name="PivotTable17"/>
    <pivotTable tabId="3" name="PivotTable2"/>
    <pivotTable tabId="3" name="PivotTable3"/>
    <pivotTable tabId="3" name="PivotTable5"/>
    <pivotTable tabId="3" name="PivotTable6"/>
    <pivotTable tabId="3" name="PivotTable7"/>
    <pivotTable tabId="3" name="PivotTable8"/>
    <pivotTable tabId="3" name="PivotTable9"/>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2" showCaption="0" rowHeight="241300"/>
  <slicer name="Category" xr10:uid="{00000000-0014-0000-FFFF-FFFF02000000}" cache="Slicer_Category" caption="Category" columnCount="2" showCaption="0" rowHeight="241300"/>
  <slicer name="Customer Type" xr10:uid="{00000000-0014-0000-FFFF-FFFF04000000}" cache="Slicer_Customer_Type" caption="Customer Type" columnCount="2" showCaption="0" rowHeight="241300"/>
  <slicer name="Months" xr10:uid="{00000000-0014-0000-FFFF-FFFF05000000}" cache="Slicer_Months" caption="Months" startItem="15" rowHeight="241300"/>
  <slicer name="Payment Mode" xr10:uid="{00000000-0014-0000-FFFF-FFFF03000000}" cache="Slicer_Payment_Mode" caption="Payment Mode" showCaption="0" rowHeight="241300"/>
</slicers>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2">
            <a:lumMod val="50000"/>
          </a:schemeClr>
        </a:solidFill>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I11" sqref="I11"/>
    </sheetView>
  </sheetViews>
  <sheetFormatPr defaultRowHeight="15" x14ac:dyDescent="0.25"/>
  <cols>
    <col min="1" max="1" width="11.85546875" bestFit="1" customWidth="1"/>
    <col min="2" max="2" width="15.42578125" bestFit="1" customWidth="1"/>
    <col min="3" max="3" width="7.140625" bestFit="1" customWidth="1"/>
    <col min="4" max="4" width="16.5703125" bestFit="1" customWidth="1"/>
    <col min="5" max="5" width="12.140625" bestFit="1" customWidth="1"/>
    <col min="6" max="6" width="8.7109375" bestFit="1" customWidth="1"/>
    <col min="7" max="7" width="9.5703125" bestFit="1" customWidth="1"/>
    <col min="8" max="8" width="10.42578125" bestFit="1" customWidth="1"/>
    <col min="9" max="9" width="11.5703125" bestFit="1" customWidth="1"/>
    <col min="10" max="10" width="10.7109375" bestFit="1" customWidth="1"/>
    <col min="11" max="11" width="9.42578125" bestFit="1" customWidth="1"/>
    <col min="12" max="12" width="14.5703125" bestFit="1" customWidth="1"/>
    <col min="13" max="13" width="11.7109375" bestFit="1" customWidth="1"/>
    <col min="14" max="14" width="10.42578125" bestFit="1" customWidth="1"/>
    <col min="15" max="15" width="10" bestFit="1" customWidth="1"/>
    <col min="16" max="16" width="12" bestFit="1" customWidth="1"/>
    <col min="17" max="17" width="14.42578125" bestFit="1" customWidth="1"/>
  </cols>
  <sheetData>
    <row r="1" spans="1:17" x14ac:dyDescent="0.25">
      <c r="A1" t="s">
        <v>0</v>
      </c>
      <c r="B1" t="s">
        <v>1</v>
      </c>
      <c r="C1" t="s">
        <v>2</v>
      </c>
      <c r="D1" t="s">
        <v>3</v>
      </c>
      <c r="E1" t="s">
        <v>4</v>
      </c>
      <c r="F1" t="s">
        <v>5</v>
      </c>
      <c r="G1" t="s">
        <v>6</v>
      </c>
      <c r="H1" t="s">
        <v>7</v>
      </c>
      <c r="I1" t="s">
        <v>663</v>
      </c>
      <c r="J1" t="s">
        <v>8</v>
      </c>
      <c r="K1" t="s">
        <v>9</v>
      </c>
      <c r="L1" t="s">
        <v>10</v>
      </c>
      <c r="M1" t="s">
        <v>11</v>
      </c>
      <c r="N1" t="s">
        <v>12</v>
      </c>
      <c r="O1" t="s">
        <v>13</v>
      </c>
      <c r="P1" t="s">
        <v>14</v>
      </c>
      <c r="Q1" t="s">
        <v>15</v>
      </c>
    </row>
    <row r="2" spans="1:17" x14ac:dyDescent="0.25">
      <c r="A2">
        <v>101</v>
      </c>
      <c r="B2" t="s">
        <v>16</v>
      </c>
      <c r="C2" t="s">
        <v>17</v>
      </c>
      <c r="D2" t="s">
        <v>18</v>
      </c>
      <c r="E2" t="s">
        <v>19</v>
      </c>
      <c r="F2">
        <v>7</v>
      </c>
      <c r="G2">
        <v>58326</v>
      </c>
      <c r="H2" t="s">
        <v>20</v>
      </c>
      <c r="I2" t="e" cm="1" vm="1">
        <f t="array" aca="1" ref="I2" ca="1">MONTH(Pivot_Table!E239:G596)</f>
        <v>#VALUE!</v>
      </c>
      <c r="J2">
        <v>20</v>
      </c>
      <c r="K2" t="s">
        <v>21</v>
      </c>
      <c r="L2" t="s">
        <v>22</v>
      </c>
      <c r="M2" t="s">
        <v>23</v>
      </c>
      <c r="N2">
        <v>326625.59999999998</v>
      </c>
      <c r="O2">
        <v>43047.87</v>
      </c>
      <c r="P2" t="s">
        <v>24</v>
      </c>
      <c r="Q2" t="s">
        <v>25</v>
      </c>
    </row>
    <row r="3" spans="1:17" x14ac:dyDescent="0.25">
      <c r="A3">
        <v>102</v>
      </c>
      <c r="B3" t="s">
        <v>26</v>
      </c>
      <c r="C3" t="s">
        <v>27</v>
      </c>
      <c r="D3" t="s">
        <v>28</v>
      </c>
      <c r="E3" t="s">
        <v>29</v>
      </c>
      <c r="F3">
        <v>1</v>
      </c>
      <c r="G3">
        <v>47641</v>
      </c>
      <c r="H3" t="s">
        <v>30</v>
      </c>
      <c r="J3">
        <v>5</v>
      </c>
      <c r="K3" t="s">
        <v>21</v>
      </c>
      <c r="L3" t="s">
        <v>31</v>
      </c>
      <c r="M3" t="s">
        <v>32</v>
      </c>
      <c r="N3">
        <v>45258.95</v>
      </c>
      <c r="O3">
        <v>11382.05</v>
      </c>
      <c r="P3" t="s">
        <v>33</v>
      </c>
      <c r="Q3" t="s">
        <v>25</v>
      </c>
    </row>
    <row r="4" spans="1:17" x14ac:dyDescent="0.25">
      <c r="A4">
        <v>103</v>
      </c>
      <c r="B4" t="s">
        <v>34</v>
      </c>
      <c r="C4" t="s">
        <v>35</v>
      </c>
      <c r="D4" t="s">
        <v>18</v>
      </c>
      <c r="E4" t="s">
        <v>36</v>
      </c>
      <c r="F4">
        <v>4</v>
      </c>
      <c r="G4">
        <v>50986</v>
      </c>
      <c r="H4" t="s">
        <v>37</v>
      </c>
      <c r="J4">
        <v>0</v>
      </c>
      <c r="K4" t="s">
        <v>38</v>
      </c>
      <c r="L4" t="s">
        <v>31</v>
      </c>
      <c r="M4" t="s">
        <v>39</v>
      </c>
      <c r="N4">
        <v>203944</v>
      </c>
      <c r="O4">
        <v>49517.18</v>
      </c>
      <c r="P4" t="s">
        <v>40</v>
      </c>
      <c r="Q4" t="s">
        <v>25</v>
      </c>
    </row>
    <row r="5" spans="1:17" x14ac:dyDescent="0.25">
      <c r="A5">
        <v>104</v>
      </c>
      <c r="B5" t="s">
        <v>41</v>
      </c>
      <c r="C5" t="s">
        <v>17</v>
      </c>
      <c r="D5" t="s">
        <v>42</v>
      </c>
      <c r="E5" t="s">
        <v>43</v>
      </c>
      <c r="F5">
        <v>3</v>
      </c>
      <c r="G5">
        <v>39022</v>
      </c>
      <c r="H5" t="s">
        <v>44</v>
      </c>
      <c r="J5">
        <v>0</v>
      </c>
      <c r="K5" t="s">
        <v>45</v>
      </c>
      <c r="L5" t="s">
        <v>46</v>
      </c>
      <c r="M5" t="s">
        <v>47</v>
      </c>
      <c r="N5">
        <v>117066</v>
      </c>
      <c r="O5">
        <v>10865.6</v>
      </c>
      <c r="P5" t="s">
        <v>33</v>
      </c>
      <c r="Q5" t="s">
        <v>25</v>
      </c>
    </row>
    <row r="6" spans="1:17" x14ac:dyDescent="0.25">
      <c r="A6">
        <v>105</v>
      </c>
      <c r="B6" t="s">
        <v>34</v>
      </c>
      <c r="C6" t="s">
        <v>27</v>
      </c>
      <c r="D6" t="s">
        <v>28</v>
      </c>
      <c r="E6" t="s">
        <v>48</v>
      </c>
      <c r="F6">
        <v>6</v>
      </c>
      <c r="G6">
        <v>41437</v>
      </c>
      <c r="H6" t="s">
        <v>49</v>
      </c>
      <c r="J6">
        <v>10</v>
      </c>
      <c r="K6" t="s">
        <v>38</v>
      </c>
      <c r="L6" t="s">
        <v>22</v>
      </c>
      <c r="M6" t="s">
        <v>50</v>
      </c>
      <c r="N6">
        <v>223759.8</v>
      </c>
      <c r="O6">
        <v>37956.629999999997</v>
      </c>
      <c r="P6" t="s">
        <v>24</v>
      </c>
      <c r="Q6" t="s">
        <v>25</v>
      </c>
    </row>
    <row r="7" spans="1:17" x14ac:dyDescent="0.25">
      <c r="A7">
        <v>106</v>
      </c>
      <c r="B7" t="s">
        <v>51</v>
      </c>
      <c r="C7" t="s">
        <v>35</v>
      </c>
      <c r="D7" t="s">
        <v>42</v>
      </c>
      <c r="E7" t="s">
        <v>52</v>
      </c>
      <c r="F7">
        <v>8</v>
      </c>
      <c r="G7">
        <v>72216</v>
      </c>
      <c r="H7" t="s">
        <v>53</v>
      </c>
      <c r="J7">
        <v>10</v>
      </c>
      <c r="K7" t="s">
        <v>54</v>
      </c>
      <c r="L7" t="s">
        <v>55</v>
      </c>
      <c r="M7" t="s">
        <v>39</v>
      </c>
      <c r="N7">
        <v>519955.20000000001</v>
      </c>
      <c r="O7">
        <v>50336.2</v>
      </c>
      <c r="P7" t="s">
        <v>24</v>
      </c>
      <c r="Q7" t="s">
        <v>56</v>
      </c>
    </row>
    <row r="8" spans="1:17" x14ac:dyDescent="0.25">
      <c r="A8">
        <v>107</v>
      </c>
      <c r="B8" t="s">
        <v>16</v>
      </c>
      <c r="C8" t="s">
        <v>27</v>
      </c>
      <c r="D8" t="s">
        <v>18</v>
      </c>
      <c r="E8" t="s">
        <v>36</v>
      </c>
      <c r="F8">
        <v>2</v>
      </c>
      <c r="G8">
        <v>37452</v>
      </c>
      <c r="H8" t="s">
        <v>57</v>
      </c>
      <c r="J8">
        <v>10</v>
      </c>
      <c r="K8" t="s">
        <v>58</v>
      </c>
      <c r="L8" t="s">
        <v>22</v>
      </c>
      <c r="M8" t="s">
        <v>50</v>
      </c>
      <c r="N8">
        <v>67413.600000000006</v>
      </c>
      <c r="O8">
        <v>12849.25</v>
      </c>
      <c r="P8" t="s">
        <v>24</v>
      </c>
      <c r="Q8" t="s">
        <v>56</v>
      </c>
    </row>
    <row r="9" spans="1:17" x14ac:dyDescent="0.25">
      <c r="A9">
        <v>108</v>
      </c>
      <c r="B9" t="s">
        <v>41</v>
      </c>
      <c r="C9" t="s">
        <v>17</v>
      </c>
      <c r="D9" t="s">
        <v>42</v>
      </c>
      <c r="E9" t="s">
        <v>59</v>
      </c>
      <c r="F9">
        <v>9</v>
      </c>
      <c r="G9">
        <v>73255</v>
      </c>
      <c r="H9" t="s">
        <v>60</v>
      </c>
      <c r="J9">
        <v>5</v>
      </c>
      <c r="K9" t="s">
        <v>21</v>
      </c>
      <c r="L9" t="s">
        <v>55</v>
      </c>
      <c r="M9" t="s">
        <v>39</v>
      </c>
      <c r="N9">
        <v>626330.25</v>
      </c>
      <c r="O9">
        <v>96363.53</v>
      </c>
      <c r="P9" t="s">
        <v>24</v>
      </c>
      <c r="Q9" t="s">
        <v>56</v>
      </c>
    </row>
    <row r="10" spans="1:17" x14ac:dyDescent="0.25">
      <c r="A10">
        <v>109</v>
      </c>
      <c r="B10" t="s">
        <v>61</v>
      </c>
      <c r="C10" t="s">
        <v>17</v>
      </c>
      <c r="D10" t="s">
        <v>18</v>
      </c>
      <c r="E10" t="s">
        <v>62</v>
      </c>
      <c r="F10">
        <v>8</v>
      </c>
      <c r="G10">
        <v>22262</v>
      </c>
      <c r="H10" t="s">
        <v>63</v>
      </c>
      <c r="J10">
        <v>15</v>
      </c>
      <c r="K10" t="s">
        <v>45</v>
      </c>
      <c r="L10" t="s">
        <v>46</v>
      </c>
      <c r="M10" t="s">
        <v>64</v>
      </c>
      <c r="N10">
        <v>151381.6</v>
      </c>
      <c r="O10">
        <v>29557.14</v>
      </c>
      <c r="P10" t="s">
        <v>65</v>
      </c>
      <c r="Q10" t="s">
        <v>25</v>
      </c>
    </row>
    <row r="11" spans="1:17" x14ac:dyDescent="0.25">
      <c r="A11">
        <v>110</v>
      </c>
      <c r="B11" t="s">
        <v>51</v>
      </c>
      <c r="C11" t="s">
        <v>17</v>
      </c>
      <c r="D11" t="s">
        <v>18</v>
      </c>
      <c r="E11" t="s">
        <v>19</v>
      </c>
      <c r="F11">
        <v>8</v>
      </c>
      <c r="G11">
        <v>29994</v>
      </c>
      <c r="H11" t="s">
        <v>66</v>
      </c>
      <c r="J11">
        <v>0</v>
      </c>
      <c r="K11" t="s">
        <v>38</v>
      </c>
      <c r="L11" t="s">
        <v>31</v>
      </c>
      <c r="M11" t="s">
        <v>50</v>
      </c>
      <c r="N11">
        <v>239952</v>
      </c>
      <c r="O11">
        <v>52640.7</v>
      </c>
      <c r="P11" t="s">
        <v>33</v>
      </c>
      <c r="Q11" t="s">
        <v>56</v>
      </c>
    </row>
    <row r="12" spans="1:17" x14ac:dyDescent="0.25">
      <c r="A12">
        <v>111</v>
      </c>
      <c r="B12" t="s">
        <v>67</v>
      </c>
      <c r="C12" t="s">
        <v>68</v>
      </c>
      <c r="D12" t="s">
        <v>69</v>
      </c>
      <c r="E12" t="s">
        <v>70</v>
      </c>
      <c r="F12">
        <v>5</v>
      </c>
      <c r="G12">
        <v>77882</v>
      </c>
      <c r="H12" t="s">
        <v>71</v>
      </c>
      <c r="J12">
        <v>0</v>
      </c>
      <c r="K12" t="s">
        <v>45</v>
      </c>
      <c r="L12" t="s">
        <v>46</v>
      </c>
      <c r="M12" t="s">
        <v>39</v>
      </c>
      <c r="N12">
        <v>389410</v>
      </c>
      <c r="O12">
        <v>67084.7</v>
      </c>
      <c r="P12" t="s">
        <v>40</v>
      </c>
      <c r="Q12" t="s">
        <v>56</v>
      </c>
    </row>
    <row r="13" spans="1:17" x14ac:dyDescent="0.25">
      <c r="A13">
        <v>112</v>
      </c>
      <c r="B13" t="s">
        <v>67</v>
      </c>
      <c r="C13" t="s">
        <v>17</v>
      </c>
      <c r="D13" t="s">
        <v>18</v>
      </c>
      <c r="E13" t="s">
        <v>72</v>
      </c>
      <c r="F13">
        <v>6</v>
      </c>
      <c r="G13">
        <v>37597</v>
      </c>
      <c r="H13" t="s">
        <v>73</v>
      </c>
      <c r="J13">
        <v>20</v>
      </c>
      <c r="K13" t="s">
        <v>74</v>
      </c>
      <c r="L13" t="s">
        <v>55</v>
      </c>
      <c r="M13" t="s">
        <v>50</v>
      </c>
      <c r="N13">
        <v>180465.6</v>
      </c>
      <c r="O13">
        <v>15864.02</v>
      </c>
      <c r="P13" t="s">
        <v>33</v>
      </c>
      <c r="Q13" t="s">
        <v>75</v>
      </c>
    </row>
    <row r="14" spans="1:17" x14ac:dyDescent="0.25">
      <c r="A14">
        <v>113</v>
      </c>
      <c r="B14" t="s">
        <v>34</v>
      </c>
      <c r="C14" t="s">
        <v>17</v>
      </c>
      <c r="D14" t="s">
        <v>76</v>
      </c>
      <c r="E14" t="s">
        <v>77</v>
      </c>
      <c r="F14">
        <v>6</v>
      </c>
      <c r="G14">
        <v>66252</v>
      </c>
      <c r="H14" t="s">
        <v>78</v>
      </c>
      <c r="J14">
        <v>10</v>
      </c>
      <c r="K14" t="s">
        <v>45</v>
      </c>
      <c r="L14" t="s">
        <v>55</v>
      </c>
      <c r="M14" t="s">
        <v>39</v>
      </c>
      <c r="N14">
        <v>357760.8</v>
      </c>
      <c r="O14">
        <v>71275.78</v>
      </c>
      <c r="P14" t="s">
        <v>65</v>
      </c>
      <c r="Q14" t="s">
        <v>25</v>
      </c>
    </row>
    <row r="15" spans="1:17" x14ac:dyDescent="0.25">
      <c r="A15">
        <v>114</v>
      </c>
      <c r="B15" t="s">
        <v>79</v>
      </c>
      <c r="C15" t="s">
        <v>27</v>
      </c>
      <c r="D15" t="s">
        <v>76</v>
      </c>
      <c r="E15" t="s">
        <v>77</v>
      </c>
      <c r="F15">
        <v>7</v>
      </c>
      <c r="G15">
        <v>59305</v>
      </c>
      <c r="H15" t="s">
        <v>80</v>
      </c>
      <c r="J15">
        <v>5</v>
      </c>
      <c r="K15" t="s">
        <v>58</v>
      </c>
      <c r="L15" t="s">
        <v>55</v>
      </c>
      <c r="M15" t="s">
        <v>81</v>
      </c>
      <c r="N15">
        <v>394378.25</v>
      </c>
      <c r="O15">
        <v>88029.79</v>
      </c>
      <c r="P15" t="s">
        <v>65</v>
      </c>
      <c r="Q15" t="s">
        <v>75</v>
      </c>
    </row>
    <row r="16" spans="1:17" x14ac:dyDescent="0.25">
      <c r="A16">
        <v>115</v>
      </c>
      <c r="B16" t="s">
        <v>79</v>
      </c>
      <c r="C16" t="s">
        <v>68</v>
      </c>
      <c r="D16" t="s">
        <v>69</v>
      </c>
      <c r="E16" t="s">
        <v>70</v>
      </c>
      <c r="F16">
        <v>2</v>
      </c>
      <c r="G16">
        <v>64888</v>
      </c>
      <c r="H16" t="s">
        <v>82</v>
      </c>
      <c r="J16">
        <v>10</v>
      </c>
      <c r="K16" t="s">
        <v>54</v>
      </c>
      <c r="L16" t="s">
        <v>46</v>
      </c>
      <c r="M16" t="s">
        <v>32</v>
      </c>
      <c r="N16">
        <v>116798.39999999999</v>
      </c>
      <c r="O16">
        <v>19227.009999999998</v>
      </c>
      <c r="P16" t="s">
        <v>24</v>
      </c>
      <c r="Q16" t="s">
        <v>25</v>
      </c>
    </row>
    <row r="17" spans="1:17" x14ac:dyDescent="0.25">
      <c r="A17">
        <v>116</v>
      </c>
      <c r="B17" t="s">
        <v>41</v>
      </c>
      <c r="C17" t="s">
        <v>35</v>
      </c>
      <c r="D17" t="s">
        <v>42</v>
      </c>
      <c r="E17" t="s">
        <v>59</v>
      </c>
      <c r="F17">
        <v>9</v>
      </c>
      <c r="G17">
        <v>70444</v>
      </c>
      <c r="H17" t="s">
        <v>83</v>
      </c>
      <c r="J17">
        <v>0</v>
      </c>
      <c r="K17" t="s">
        <v>21</v>
      </c>
      <c r="L17" t="s">
        <v>31</v>
      </c>
      <c r="M17" t="s">
        <v>23</v>
      </c>
      <c r="N17">
        <v>633996</v>
      </c>
      <c r="O17">
        <v>81182.7</v>
      </c>
      <c r="P17" t="s">
        <v>40</v>
      </c>
      <c r="Q17" t="s">
        <v>56</v>
      </c>
    </row>
    <row r="18" spans="1:17" x14ac:dyDescent="0.25">
      <c r="A18">
        <v>117</v>
      </c>
      <c r="B18" t="s">
        <v>84</v>
      </c>
      <c r="C18" t="s">
        <v>68</v>
      </c>
      <c r="D18" t="s">
        <v>18</v>
      </c>
      <c r="E18" t="s">
        <v>62</v>
      </c>
      <c r="F18">
        <v>6</v>
      </c>
      <c r="G18">
        <v>11104</v>
      </c>
      <c r="H18" t="s">
        <v>85</v>
      </c>
      <c r="J18">
        <v>10</v>
      </c>
      <c r="K18" t="s">
        <v>58</v>
      </c>
      <c r="L18" t="s">
        <v>22</v>
      </c>
      <c r="M18" t="s">
        <v>50</v>
      </c>
      <c r="N18">
        <v>59961.599999999999</v>
      </c>
      <c r="O18">
        <v>17725.22</v>
      </c>
      <c r="P18" t="s">
        <v>40</v>
      </c>
      <c r="Q18" t="s">
        <v>25</v>
      </c>
    </row>
    <row r="19" spans="1:17" x14ac:dyDescent="0.25">
      <c r="A19">
        <v>118</v>
      </c>
      <c r="B19" t="s">
        <v>61</v>
      </c>
      <c r="C19" t="s">
        <v>17</v>
      </c>
      <c r="D19" t="s">
        <v>28</v>
      </c>
      <c r="E19" t="s">
        <v>48</v>
      </c>
      <c r="F19">
        <v>10</v>
      </c>
      <c r="G19">
        <v>6648</v>
      </c>
      <c r="H19" t="s">
        <v>86</v>
      </c>
      <c r="J19">
        <v>20</v>
      </c>
      <c r="K19" t="s">
        <v>21</v>
      </c>
      <c r="L19" t="s">
        <v>31</v>
      </c>
      <c r="M19" t="s">
        <v>50</v>
      </c>
      <c r="N19">
        <v>53184</v>
      </c>
      <c r="O19">
        <v>6312.19</v>
      </c>
      <c r="P19" t="s">
        <v>33</v>
      </c>
      <c r="Q19" t="s">
        <v>56</v>
      </c>
    </row>
    <row r="20" spans="1:17" x14ac:dyDescent="0.25">
      <c r="A20">
        <v>119</v>
      </c>
      <c r="B20" t="s">
        <v>51</v>
      </c>
      <c r="C20" t="s">
        <v>17</v>
      </c>
      <c r="D20" t="s">
        <v>69</v>
      </c>
      <c r="E20" t="s">
        <v>70</v>
      </c>
      <c r="F20">
        <v>5</v>
      </c>
      <c r="G20">
        <v>33683</v>
      </c>
      <c r="H20" t="s">
        <v>87</v>
      </c>
      <c r="J20">
        <v>15</v>
      </c>
      <c r="K20" t="s">
        <v>38</v>
      </c>
      <c r="L20" t="s">
        <v>22</v>
      </c>
      <c r="M20" t="s">
        <v>81</v>
      </c>
      <c r="N20">
        <v>143152.75</v>
      </c>
      <c r="O20">
        <v>15940.72</v>
      </c>
      <c r="P20" t="s">
        <v>65</v>
      </c>
      <c r="Q20" t="s">
        <v>56</v>
      </c>
    </row>
    <row r="21" spans="1:17" x14ac:dyDescent="0.25">
      <c r="A21">
        <v>120</v>
      </c>
      <c r="B21" t="s">
        <v>26</v>
      </c>
      <c r="C21" t="s">
        <v>17</v>
      </c>
      <c r="D21" t="s">
        <v>76</v>
      </c>
      <c r="E21" t="s">
        <v>77</v>
      </c>
      <c r="F21">
        <v>5</v>
      </c>
      <c r="G21">
        <v>33345</v>
      </c>
      <c r="H21" t="s">
        <v>88</v>
      </c>
      <c r="J21">
        <v>0</v>
      </c>
      <c r="K21" t="s">
        <v>54</v>
      </c>
      <c r="L21" t="s">
        <v>55</v>
      </c>
      <c r="M21" t="s">
        <v>81</v>
      </c>
      <c r="N21">
        <v>166725</v>
      </c>
      <c r="O21">
        <v>21888.14</v>
      </c>
      <c r="P21" t="s">
        <v>24</v>
      </c>
      <c r="Q21" t="s">
        <v>25</v>
      </c>
    </row>
    <row r="22" spans="1:17" x14ac:dyDescent="0.25">
      <c r="A22">
        <v>121</v>
      </c>
      <c r="B22" t="s">
        <v>41</v>
      </c>
      <c r="C22" t="s">
        <v>17</v>
      </c>
      <c r="D22" t="s">
        <v>28</v>
      </c>
      <c r="E22" t="s">
        <v>29</v>
      </c>
      <c r="F22">
        <v>6</v>
      </c>
      <c r="G22">
        <v>67725</v>
      </c>
      <c r="H22" t="s">
        <v>89</v>
      </c>
      <c r="J22">
        <v>5</v>
      </c>
      <c r="K22" t="s">
        <v>38</v>
      </c>
      <c r="L22" t="s">
        <v>31</v>
      </c>
      <c r="M22" t="s">
        <v>47</v>
      </c>
      <c r="N22">
        <v>386032.5</v>
      </c>
      <c r="O22">
        <v>96150.91</v>
      </c>
      <c r="P22" t="s">
        <v>33</v>
      </c>
      <c r="Q22" t="s">
        <v>25</v>
      </c>
    </row>
    <row r="23" spans="1:17" x14ac:dyDescent="0.25">
      <c r="A23">
        <v>122</v>
      </c>
      <c r="B23" t="s">
        <v>26</v>
      </c>
      <c r="C23" t="s">
        <v>35</v>
      </c>
      <c r="D23" t="s">
        <v>28</v>
      </c>
      <c r="E23" t="s">
        <v>29</v>
      </c>
      <c r="F23">
        <v>8</v>
      </c>
      <c r="G23">
        <v>29710</v>
      </c>
      <c r="H23" t="s">
        <v>90</v>
      </c>
      <c r="J23">
        <v>20</v>
      </c>
      <c r="K23" t="s">
        <v>38</v>
      </c>
      <c r="L23" t="s">
        <v>55</v>
      </c>
      <c r="M23" t="s">
        <v>81</v>
      </c>
      <c r="N23">
        <v>190144</v>
      </c>
      <c r="O23">
        <v>22068.799999999999</v>
      </c>
      <c r="P23" t="s">
        <v>65</v>
      </c>
      <c r="Q23" t="s">
        <v>25</v>
      </c>
    </row>
    <row r="24" spans="1:17" x14ac:dyDescent="0.25">
      <c r="A24">
        <v>123</v>
      </c>
      <c r="B24" t="s">
        <v>91</v>
      </c>
      <c r="C24" t="s">
        <v>17</v>
      </c>
      <c r="D24" t="s">
        <v>76</v>
      </c>
      <c r="E24" t="s">
        <v>92</v>
      </c>
      <c r="F24">
        <v>7</v>
      </c>
      <c r="G24">
        <v>69942</v>
      </c>
      <c r="H24" t="s">
        <v>93</v>
      </c>
      <c r="J24">
        <v>15</v>
      </c>
      <c r="K24" t="s">
        <v>38</v>
      </c>
      <c r="L24" t="s">
        <v>46</v>
      </c>
      <c r="M24" t="s">
        <v>32</v>
      </c>
      <c r="N24">
        <v>416154.9</v>
      </c>
      <c r="O24">
        <v>112334.14</v>
      </c>
      <c r="P24" t="s">
        <v>33</v>
      </c>
      <c r="Q24" t="s">
        <v>75</v>
      </c>
    </row>
    <row r="25" spans="1:17" x14ac:dyDescent="0.25">
      <c r="A25">
        <v>124</v>
      </c>
      <c r="B25" t="s">
        <v>94</v>
      </c>
      <c r="C25" t="s">
        <v>68</v>
      </c>
      <c r="D25" t="s">
        <v>18</v>
      </c>
      <c r="E25" t="s">
        <v>72</v>
      </c>
      <c r="F25">
        <v>3</v>
      </c>
      <c r="G25">
        <v>69978</v>
      </c>
      <c r="H25" t="s">
        <v>95</v>
      </c>
      <c r="J25">
        <v>15</v>
      </c>
      <c r="K25" t="s">
        <v>45</v>
      </c>
      <c r="L25" t="s">
        <v>31</v>
      </c>
      <c r="M25" t="s">
        <v>47</v>
      </c>
      <c r="N25">
        <v>178443.9</v>
      </c>
      <c r="O25">
        <v>25374.87</v>
      </c>
      <c r="P25" t="s">
        <v>24</v>
      </c>
      <c r="Q25" t="s">
        <v>56</v>
      </c>
    </row>
    <row r="26" spans="1:17" x14ac:dyDescent="0.25">
      <c r="A26">
        <v>125</v>
      </c>
      <c r="B26" t="s">
        <v>84</v>
      </c>
      <c r="C26" t="s">
        <v>68</v>
      </c>
      <c r="D26" t="s">
        <v>76</v>
      </c>
      <c r="E26" t="s">
        <v>77</v>
      </c>
      <c r="F26">
        <v>7</v>
      </c>
      <c r="G26">
        <v>27719</v>
      </c>
      <c r="H26" t="s">
        <v>93</v>
      </c>
      <c r="J26">
        <v>10</v>
      </c>
      <c r="K26" t="s">
        <v>74</v>
      </c>
      <c r="L26" t="s">
        <v>22</v>
      </c>
      <c r="M26" t="s">
        <v>32</v>
      </c>
      <c r="N26">
        <v>174629.7</v>
      </c>
      <c r="O26">
        <v>22986.69</v>
      </c>
      <c r="P26" t="s">
        <v>40</v>
      </c>
      <c r="Q26" t="s">
        <v>56</v>
      </c>
    </row>
    <row r="27" spans="1:17" x14ac:dyDescent="0.25">
      <c r="A27">
        <v>126</v>
      </c>
      <c r="B27" t="s">
        <v>96</v>
      </c>
      <c r="C27" t="s">
        <v>68</v>
      </c>
      <c r="D27" t="s">
        <v>42</v>
      </c>
      <c r="E27" t="s">
        <v>43</v>
      </c>
      <c r="F27">
        <v>2</v>
      </c>
      <c r="G27">
        <v>68919</v>
      </c>
      <c r="H27" t="s">
        <v>97</v>
      </c>
      <c r="J27">
        <v>0</v>
      </c>
      <c r="K27" t="s">
        <v>58</v>
      </c>
      <c r="L27" t="s">
        <v>31</v>
      </c>
      <c r="M27" t="s">
        <v>50</v>
      </c>
      <c r="N27">
        <v>137838</v>
      </c>
      <c r="O27">
        <v>12587</v>
      </c>
      <c r="P27" t="s">
        <v>65</v>
      </c>
      <c r="Q27" t="s">
        <v>75</v>
      </c>
    </row>
    <row r="28" spans="1:17" x14ac:dyDescent="0.25">
      <c r="A28">
        <v>127</v>
      </c>
      <c r="B28" t="s">
        <v>91</v>
      </c>
      <c r="C28" t="s">
        <v>17</v>
      </c>
      <c r="D28" t="s">
        <v>69</v>
      </c>
      <c r="E28" t="s">
        <v>98</v>
      </c>
      <c r="F28">
        <v>9</v>
      </c>
      <c r="G28">
        <v>51772</v>
      </c>
      <c r="H28" t="s">
        <v>99</v>
      </c>
      <c r="J28">
        <v>20</v>
      </c>
      <c r="K28" t="s">
        <v>45</v>
      </c>
      <c r="L28" t="s">
        <v>31</v>
      </c>
      <c r="M28" t="s">
        <v>100</v>
      </c>
      <c r="N28">
        <v>372758.4</v>
      </c>
      <c r="O28">
        <v>29874.93</v>
      </c>
      <c r="P28" t="s">
        <v>24</v>
      </c>
      <c r="Q28" t="s">
        <v>56</v>
      </c>
    </row>
    <row r="29" spans="1:17" x14ac:dyDescent="0.25">
      <c r="A29">
        <v>128</v>
      </c>
      <c r="B29" t="s">
        <v>51</v>
      </c>
      <c r="C29" t="s">
        <v>68</v>
      </c>
      <c r="D29" t="s">
        <v>76</v>
      </c>
      <c r="E29" t="s">
        <v>101</v>
      </c>
      <c r="F29">
        <v>9</v>
      </c>
      <c r="G29">
        <v>46328</v>
      </c>
      <c r="H29" t="s">
        <v>102</v>
      </c>
      <c r="J29">
        <v>10</v>
      </c>
      <c r="K29" t="s">
        <v>38</v>
      </c>
      <c r="L29" t="s">
        <v>22</v>
      </c>
      <c r="M29" t="s">
        <v>47</v>
      </c>
      <c r="N29">
        <v>375256.8</v>
      </c>
      <c r="O29">
        <v>109170.14</v>
      </c>
      <c r="P29" t="s">
        <v>24</v>
      </c>
      <c r="Q29" t="s">
        <v>75</v>
      </c>
    </row>
    <row r="30" spans="1:17" x14ac:dyDescent="0.25">
      <c r="A30">
        <v>129</v>
      </c>
      <c r="B30" t="s">
        <v>91</v>
      </c>
      <c r="C30" t="s">
        <v>27</v>
      </c>
      <c r="D30" t="s">
        <v>28</v>
      </c>
      <c r="E30" t="s">
        <v>103</v>
      </c>
      <c r="F30">
        <v>1</v>
      </c>
      <c r="G30">
        <v>25242</v>
      </c>
      <c r="H30" t="s">
        <v>104</v>
      </c>
      <c r="J30">
        <v>0</v>
      </c>
      <c r="K30" t="s">
        <v>21</v>
      </c>
      <c r="L30" t="s">
        <v>22</v>
      </c>
      <c r="M30" t="s">
        <v>47</v>
      </c>
      <c r="N30">
        <v>25242</v>
      </c>
      <c r="O30">
        <v>2823.93</v>
      </c>
      <c r="P30" t="s">
        <v>24</v>
      </c>
      <c r="Q30" t="s">
        <v>75</v>
      </c>
    </row>
    <row r="31" spans="1:17" x14ac:dyDescent="0.25">
      <c r="A31">
        <v>130</v>
      </c>
      <c r="B31" t="s">
        <v>94</v>
      </c>
      <c r="C31" t="s">
        <v>68</v>
      </c>
      <c r="D31" t="s">
        <v>76</v>
      </c>
      <c r="E31" t="s">
        <v>77</v>
      </c>
      <c r="F31">
        <v>5</v>
      </c>
      <c r="G31">
        <v>29070</v>
      </c>
      <c r="H31" t="s">
        <v>105</v>
      </c>
      <c r="J31">
        <v>15</v>
      </c>
      <c r="K31" t="s">
        <v>45</v>
      </c>
      <c r="L31" t="s">
        <v>55</v>
      </c>
      <c r="M31" t="s">
        <v>23</v>
      </c>
      <c r="N31">
        <v>123547.5</v>
      </c>
      <c r="O31">
        <v>18927.57</v>
      </c>
      <c r="P31" t="s">
        <v>33</v>
      </c>
      <c r="Q31" t="s">
        <v>25</v>
      </c>
    </row>
    <row r="32" spans="1:17" x14ac:dyDescent="0.25">
      <c r="A32">
        <v>131</v>
      </c>
      <c r="B32" t="s">
        <v>16</v>
      </c>
      <c r="C32" t="s">
        <v>35</v>
      </c>
      <c r="D32" t="s">
        <v>69</v>
      </c>
      <c r="E32" t="s">
        <v>98</v>
      </c>
      <c r="F32">
        <v>9</v>
      </c>
      <c r="G32">
        <v>63706</v>
      </c>
      <c r="H32" t="s">
        <v>106</v>
      </c>
      <c r="J32">
        <v>20</v>
      </c>
      <c r="K32" t="s">
        <v>45</v>
      </c>
      <c r="L32" t="s">
        <v>46</v>
      </c>
      <c r="M32" t="s">
        <v>23</v>
      </c>
      <c r="N32">
        <v>458683.2</v>
      </c>
      <c r="O32">
        <v>136544.15</v>
      </c>
      <c r="P32" t="s">
        <v>33</v>
      </c>
      <c r="Q32" t="s">
        <v>25</v>
      </c>
    </row>
    <row r="33" spans="1:17" x14ac:dyDescent="0.25">
      <c r="A33">
        <v>132</v>
      </c>
      <c r="B33" t="s">
        <v>107</v>
      </c>
      <c r="C33" t="s">
        <v>35</v>
      </c>
      <c r="D33" t="s">
        <v>42</v>
      </c>
      <c r="E33" t="s">
        <v>59</v>
      </c>
      <c r="F33">
        <v>7</v>
      </c>
      <c r="G33">
        <v>24720</v>
      </c>
      <c r="H33" t="s">
        <v>108</v>
      </c>
      <c r="J33">
        <v>15</v>
      </c>
      <c r="K33" t="s">
        <v>21</v>
      </c>
      <c r="L33" t="s">
        <v>22</v>
      </c>
      <c r="M33" t="s">
        <v>50</v>
      </c>
      <c r="N33">
        <v>147084</v>
      </c>
      <c r="O33">
        <v>29351.87</v>
      </c>
      <c r="P33" t="s">
        <v>65</v>
      </c>
      <c r="Q33" t="s">
        <v>56</v>
      </c>
    </row>
    <row r="34" spans="1:17" x14ac:dyDescent="0.25">
      <c r="A34">
        <v>133</v>
      </c>
      <c r="B34" t="s">
        <v>109</v>
      </c>
      <c r="C34" t="s">
        <v>17</v>
      </c>
      <c r="D34" t="s">
        <v>42</v>
      </c>
      <c r="E34" t="s">
        <v>43</v>
      </c>
      <c r="F34">
        <v>4</v>
      </c>
      <c r="G34">
        <v>4600</v>
      </c>
      <c r="H34" t="s">
        <v>110</v>
      </c>
      <c r="J34">
        <v>15</v>
      </c>
      <c r="K34" t="s">
        <v>21</v>
      </c>
      <c r="L34" t="s">
        <v>22</v>
      </c>
      <c r="M34" t="s">
        <v>81</v>
      </c>
      <c r="N34">
        <v>15640</v>
      </c>
      <c r="O34">
        <v>4630.3100000000004</v>
      </c>
      <c r="P34" t="s">
        <v>65</v>
      </c>
      <c r="Q34" t="s">
        <v>56</v>
      </c>
    </row>
    <row r="35" spans="1:17" x14ac:dyDescent="0.25">
      <c r="A35">
        <v>134</v>
      </c>
      <c r="B35" t="s">
        <v>84</v>
      </c>
      <c r="C35" t="s">
        <v>27</v>
      </c>
      <c r="D35" t="s">
        <v>42</v>
      </c>
      <c r="E35" t="s">
        <v>59</v>
      </c>
      <c r="F35">
        <v>2</v>
      </c>
      <c r="G35">
        <v>79494</v>
      </c>
      <c r="H35" t="s">
        <v>111</v>
      </c>
      <c r="J35">
        <v>5</v>
      </c>
      <c r="K35" t="s">
        <v>21</v>
      </c>
      <c r="L35" t="s">
        <v>46</v>
      </c>
      <c r="M35" t="s">
        <v>64</v>
      </c>
      <c r="N35">
        <v>151038.6</v>
      </c>
      <c r="O35">
        <v>34398.78</v>
      </c>
      <c r="P35" t="s">
        <v>65</v>
      </c>
      <c r="Q35" t="s">
        <v>75</v>
      </c>
    </row>
    <row r="36" spans="1:17" x14ac:dyDescent="0.25">
      <c r="A36">
        <v>135</v>
      </c>
      <c r="B36" t="s">
        <v>51</v>
      </c>
      <c r="C36" t="s">
        <v>35</v>
      </c>
      <c r="D36" t="s">
        <v>76</v>
      </c>
      <c r="E36" t="s">
        <v>77</v>
      </c>
      <c r="F36">
        <v>7</v>
      </c>
      <c r="G36">
        <v>14929</v>
      </c>
      <c r="H36" t="s">
        <v>112</v>
      </c>
      <c r="J36">
        <v>0</v>
      </c>
      <c r="K36" t="s">
        <v>45</v>
      </c>
      <c r="L36" t="s">
        <v>55</v>
      </c>
      <c r="M36" t="s">
        <v>81</v>
      </c>
      <c r="N36">
        <v>104503</v>
      </c>
      <c r="O36">
        <v>22136.19</v>
      </c>
      <c r="P36" t="s">
        <v>33</v>
      </c>
      <c r="Q36" t="s">
        <v>56</v>
      </c>
    </row>
    <row r="37" spans="1:17" x14ac:dyDescent="0.25">
      <c r="A37">
        <v>136</v>
      </c>
      <c r="B37" t="s">
        <v>51</v>
      </c>
      <c r="C37" t="s">
        <v>17</v>
      </c>
      <c r="D37" t="s">
        <v>28</v>
      </c>
      <c r="E37" t="s">
        <v>103</v>
      </c>
      <c r="F37">
        <v>6</v>
      </c>
      <c r="G37">
        <v>12972</v>
      </c>
      <c r="H37" t="s">
        <v>113</v>
      </c>
      <c r="J37">
        <v>0</v>
      </c>
      <c r="K37" t="s">
        <v>38</v>
      </c>
      <c r="L37" t="s">
        <v>22</v>
      </c>
      <c r="M37" t="s">
        <v>100</v>
      </c>
      <c r="N37">
        <v>77832</v>
      </c>
      <c r="O37">
        <v>20062.64</v>
      </c>
      <c r="P37" t="s">
        <v>65</v>
      </c>
      <c r="Q37" t="s">
        <v>25</v>
      </c>
    </row>
    <row r="38" spans="1:17" x14ac:dyDescent="0.25">
      <c r="A38">
        <v>137</v>
      </c>
      <c r="B38" t="s">
        <v>94</v>
      </c>
      <c r="C38" t="s">
        <v>68</v>
      </c>
      <c r="D38" t="s">
        <v>18</v>
      </c>
      <c r="E38" t="s">
        <v>62</v>
      </c>
      <c r="F38">
        <v>6</v>
      </c>
      <c r="G38">
        <v>63294</v>
      </c>
      <c r="H38" t="s">
        <v>114</v>
      </c>
      <c r="J38">
        <v>15</v>
      </c>
      <c r="K38" t="s">
        <v>21</v>
      </c>
      <c r="L38" t="s">
        <v>22</v>
      </c>
      <c r="M38" t="s">
        <v>50</v>
      </c>
      <c r="N38">
        <v>322799.40000000002</v>
      </c>
      <c r="O38">
        <v>32613.7</v>
      </c>
      <c r="P38" t="s">
        <v>33</v>
      </c>
      <c r="Q38" t="s">
        <v>25</v>
      </c>
    </row>
    <row r="39" spans="1:17" x14ac:dyDescent="0.25">
      <c r="A39">
        <v>138</v>
      </c>
      <c r="B39" t="s">
        <v>115</v>
      </c>
      <c r="C39" t="s">
        <v>27</v>
      </c>
      <c r="D39" t="s">
        <v>18</v>
      </c>
      <c r="E39" t="s">
        <v>19</v>
      </c>
      <c r="F39">
        <v>8</v>
      </c>
      <c r="G39">
        <v>38859</v>
      </c>
      <c r="H39" t="s">
        <v>116</v>
      </c>
      <c r="J39">
        <v>20</v>
      </c>
      <c r="K39" t="s">
        <v>45</v>
      </c>
      <c r="L39" t="s">
        <v>46</v>
      </c>
      <c r="M39" t="s">
        <v>39</v>
      </c>
      <c r="N39">
        <v>248697.60000000001</v>
      </c>
      <c r="O39">
        <v>62646.03</v>
      </c>
      <c r="P39" t="s">
        <v>33</v>
      </c>
      <c r="Q39" t="s">
        <v>25</v>
      </c>
    </row>
    <row r="40" spans="1:17" x14ac:dyDescent="0.25">
      <c r="A40">
        <v>139</v>
      </c>
      <c r="B40" t="s">
        <v>61</v>
      </c>
      <c r="C40" t="s">
        <v>27</v>
      </c>
      <c r="D40" t="s">
        <v>28</v>
      </c>
      <c r="E40" t="s">
        <v>103</v>
      </c>
      <c r="F40">
        <v>9</v>
      </c>
      <c r="G40">
        <v>4839</v>
      </c>
      <c r="H40" t="s">
        <v>117</v>
      </c>
      <c r="J40">
        <v>5</v>
      </c>
      <c r="K40" t="s">
        <v>58</v>
      </c>
      <c r="L40" t="s">
        <v>46</v>
      </c>
      <c r="M40" t="s">
        <v>32</v>
      </c>
      <c r="N40">
        <v>41373.449999999997</v>
      </c>
      <c r="O40">
        <v>9161.92</v>
      </c>
      <c r="P40" t="s">
        <v>33</v>
      </c>
      <c r="Q40" t="s">
        <v>25</v>
      </c>
    </row>
    <row r="41" spans="1:17" x14ac:dyDescent="0.25">
      <c r="A41">
        <v>140</v>
      </c>
      <c r="B41" t="s">
        <v>34</v>
      </c>
      <c r="C41" t="s">
        <v>35</v>
      </c>
      <c r="D41" t="s">
        <v>18</v>
      </c>
      <c r="E41" t="s">
        <v>36</v>
      </c>
      <c r="F41">
        <v>4</v>
      </c>
      <c r="G41">
        <v>52113</v>
      </c>
      <c r="H41" t="s">
        <v>118</v>
      </c>
      <c r="J41">
        <v>5</v>
      </c>
      <c r="K41" t="s">
        <v>54</v>
      </c>
      <c r="L41" t="s">
        <v>31</v>
      </c>
      <c r="M41" t="s">
        <v>50</v>
      </c>
      <c r="N41">
        <v>198029.4</v>
      </c>
      <c r="O41">
        <v>17647.419999999998</v>
      </c>
      <c r="P41" t="s">
        <v>33</v>
      </c>
      <c r="Q41" t="s">
        <v>25</v>
      </c>
    </row>
    <row r="42" spans="1:17" x14ac:dyDescent="0.25">
      <c r="A42">
        <v>141</v>
      </c>
      <c r="B42" t="s">
        <v>26</v>
      </c>
      <c r="C42" t="s">
        <v>68</v>
      </c>
      <c r="D42" t="s">
        <v>28</v>
      </c>
      <c r="E42" t="s">
        <v>103</v>
      </c>
      <c r="F42">
        <v>9</v>
      </c>
      <c r="G42">
        <v>13380</v>
      </c>
      <c r="H42" t="s">
        <v>119</v>
      </c>
      <c r="J42">
        <v>15</v>
      </c>
      <c r="K42" t="s">
        <v>45</v>
      </c>
      <c r="L42" t="s">
        <v>31</v>
      </c>
      <c r="M42" t="s">
        <v>50</v>
      </c>
      <c r="N42">
        <v>102357</v>
      </c>
      <c r="O42">
        <v>17711.52</v>
      </c>
      <c r="P42" t="s">
        <v>65</v>
      </c>
      <c r="Q42" t="s">
        <v>25</v>
      </c>
    </row>
    <row r="43" spans="1:17" x14ac:dyDescent="0.25">
      <c r="A43">
        <v>142</v>
      </c>
      <c r="B43" t="s">
        <v>96</v>
      </c>
      <c r="C43" t="s">
        <v>68</v>
      </c>
      <c r="D43" t="s">
        <v>18</v>
      </c>
      <c r="E43" t="s">
        <v>62</v>
      </c>
      <c r="F43">
        <v>8</v>
      </c>
      <c r="G43">
        <v>79193</v>
      </c>
      <c r="H43" t="s">
        <v>120</v>
      </c>
      <c r="J43">
        <v>0</v>
      </c>
      <c r="K43" t="s">
        <v>21</v>
      </c>
      <c r="L43" t="s">
        <v>22</v>
      </c>
      <c r="M43" t="s">
        <v>50</v>
      </c>
      <c r="N43">
        <v>633544</v>
      </c>
      <c r="O43">
        <v>176363.7</v>
      </c>
      <c r="P43" t="s">
        <v>40</v>
      </c>
      <c r="Q43" t="s">
        <v>56</v>
      </c>
    </row>
    <row r="44" spans="1:17" x14ac:dyDescent="0.25">
      <c r="A44">
        <v>143</v>
      </c>
      <c r="B44" t="s">
        <v>16</v>
      </c>
      <c r="C44" t="s">
        <v>35</v>
      </c>
      <c r="D44" t="s">
        <v>69</v>
      </c>
      <c r="E44" t="s">
        <v>121</v>
      </c>
      <c r="F44">
        <v>9</v>
      </c>
      <c r="G44">
        <v>67591</v>
      </c>
      <c r="H44" t="s">
        <v>122</v>
      </c>
      <c r="J44">
        <v>5</v>
      </c>
      <c r="K44" t="s">
        <v>58</v>
      </c>
      <c r="L44" t="s">
        <v>31</v>
      </c>
      <c r="M44" t="s">
        <v>23</v>
      </c>
      <c r="N44">
        <v>577903.05000000005</v>
      </c>
      <c r="O44">
        <v>146663.62</v>
      </c>
      <c r="P44" t="s">
        <v>33</v>
      </c>
      <c r="Q44" t="s">
        <v>75</v>
      </c>
    </row>
    <row r="45" spans="1:17" x14ac:dyDescent="0.25">
      <c r="A45">
        <v>144</v>
      </c>
      <c r="B45" t="s">
        <v>94</v>
      </c>
      <c r="C45" t="s">
        <v>35</v>
      </c>
      <c r="D45" t="s">
        <v>18</v>
      </c>
      <c r="E45" t="s">
        <v>36</v>
      </c>
      <c r="F45">
        <v>4</v>
      </c>
      <c r="G45">
        <v>79612</v>
      </c>
      <c r="H45" t="s">
        <v>123</v>
      </c>
      <c r="J45">
        <v>5</v>
      </c>
      <c r="K45" t="s">
        <v>74</v>
      </c>
      <c r="L45" t="s">
        <v>55</v>
      </c>
      <c r="M45" t="s">
        <v>32</v>
      </c>
      <c r="N45">
        <v>302525.59999999998</v>
      </c>
      <c r="O45">
        <v>48322.27</v>
      </c>
      <c r="P45" t="s">
        <v>33</v>
      </c>
      <c r="Q45" t="s">
        <v>25</v>
      </c>
    </row>
    <row r="46" spans="1:17" x14ac:dyDescent="0.25">
      <c r="A46">
        <v>145</v>
      </c>
      <c r="B46" t="s">
        <v>51</v>
      </c>
      <c r="C46" t="s">
        <v>68</v>
      </c>
      <c r="D46" t="s">
        <v>76</v>
      </c>
      <c r="E46" t="s">
        <v>77</v>
      </c>
      <c r="F46">
        <v>9</v>
      </c>
      <c r="G46">
        <v>73112</v>
      </c>
      <c r="H46" t="s">
        <v>124</v>
      </c>
      <c r="J46">
        <v>5</v>
      </c>
      <c r="K46" t="s">
        <v>45</v>
      </c>
      <c r="L46" t="s">
        <v>46</v>
      </c>
      <c r="M46" t="s">
        <v>81</v>
      </c>
      <c r="N46">
        <v>625107.6</v>
      </c>
      <c r="O46">
        <v>149812.88</v>
      </c>
      <c r="P46" t="s">
        <v>65</v>
      </c>
      <c r="Q46" t="s">
        <v>56</v>
      </c>
    </row>
    <row r="47" spans="1:17" x14ac:dyDescent="0.25">
      <c r="A47">
        <v>146</v>
      </c>
      <c r="B47" t="s">
        <v>34</v>
      </c>
      <c r="C47" t="s">
        <v>27</v>
      </c>
      <c r="D47" t="s">
        <v>42</v>
      </c>
      <c r="E47" t="s">
        <v>43</v>
      </c>
      <c r="F47">
        <v>8</v>
      </c>
      <c r="G47">
        <v>26181</v>
      </c>
      <c r="H47" t="s">
        <v>125</v>
      </c>
      <c r="J47">
        <v>0</v>
      </c>
      <c r="K47" t="s">
        <v>38</v>
      </c>
      <c r="L47" t="s">
        <v>22</v>
      </c>
      <c r="M47" t="s">
        <v>100</v>
      </c>
      <c r="N47">
        <v>209448</v>
      </c>
      <c r="O47">
        <v>43378.46</v>
      </c>
      <c r="P47" t="s">
        <v>33</v>
      </c>
      <c r="Q47" t="s">
        <v>75</v>
      </c>
    </row>
    <row r="48" spans="1:17" x14ac:dyDescent="0.25">
      <c r="A48">
        <v>147</v>
      </c>
      <c r="B48" t="s">
        <v>107</v>
      </c>
      <c r="C48" t="s">
        <v>27</v>
      </c>
      <c r="D48" t="s">
        <v>18</v>
      </c>
      <c r="E48" t="s">
        <v>36</v>
      </c>
      <c r="F48">
        <v>10</v>
      </c>
      <c r="G48">
        <v>36919</v>
      </c>
      <c r="H48" t="s">
        <v>126</v>
      </c>
      <c r="J48">
        <v>20</v>
      </c>
      <c r="K48" t="s">
        <v>58</v>
      </c>
      <c r="L48" t="s">
        <v>55</v>
      </c>
      <c r="M48" t="s">
        <v>39</v>
      </c>
      <c r="N48">
        <v>295352</v>
      </c>
      <c r="O48">
        <v>45518.1</v>
      </c>
      <c r="P48" t="s">
        <v>24</v>
      </c>
      <c r="Q48" t="s">
        <v>75</v>
      </c>
    </row>
    <row r="49" spans="1:17" x14ac:dyDescent="0.25">
      <c r="A49">
        <v>148</v>
      </c>
      <c r="B49" t="s">
        <v>67</v>
      </c>
      <c r="C49" t="s">
        <v>35</v>
      </c>
      <c r="D49" t="s">
        <v>28</v>
      </c>
      <c r="E49" t="s">
        <v>48</v>
      </c>
      <c r="F49">
        <v>2</v>
      </c>
      <c r="G49">
        <v>12237</v>
      </c>
      <c r="H49" t="s">
        <v>127</v>
      </c>
      <c r="J49">
        <v>0</v>
      </c>
      <c r="K49" t="s">
        <v>58</v>
      </c>
      <c r="L49" t="s">
        <v>22</v>
      </c>
      <c r="M49" t="s">
        <v>23</v>
      </c>
      <c r="N49">
        <v>24474</v>
      </c>
      <c r="O49">
        <v>3837.15</v>
      </c>
      <c r="P49" t="s">
        <v>33</v>
      </c>
      <c r="Q49" t="s">
        <v>25</v>
      </c>
    </row>
    <row r="50" spans="1:17" x14ac:dyDescent="0.25">
      <c r="A50">
        <v>149</v>
      </c>
      <c r="B50" t="s">
        <v>109</v>
      </c>
      <c r="C50" t="s">
        <v>17</v>
      </c>
      <c r="D50" t="s">
        <v>42</v>
      </c>
      <c r="E50" t="s">
        <v>59</v>
      </c>
      <c r="F50">
        <v>2</v>
      </c>
      <c r="G50">
        <v>41823</v>
      </c>
      <c r="H50" t="s">
        <v>128</v>
      </c>
      <c r="J50">
        <v>10</v>
      </c>
      <c r="K50" t="s">
        <v>45</v>
      </c>
      <c r="L50" t="s">
        <v>55</v>
      </c>
      <c r="M50" t="s">
        <v>81</v>
      </c>
      <c r="N50">
        <v>75281.399999999994</v>
      </c>
      <c r="O50">
        <v>10419.280000000001</v>
      </c>
      <c r="P50" t="s">
        <v>33</v>
      </c>
      <c r="Q50" t="s">
        <v>56</v>
      </c>
    </row>
    <row r="51" spans="1:17" x14ac:dyDescent="0.25">
      <c r="A51">
        <v>150</v>
      </c>
      <c r="B51" t="s">
        <v>115</v>
      </c>
      <c r="C51" t="s">
        <v>17</v>
      </c>
      <c r="D51" t="s">
        <v>18</v>
      </c>
      <c r="E51" t="s">
        <v>36</v>
      </c>
      <c r="F51">
        <v>8</v>
      </c>
      <c r="G51">
        <v>77443</v>
      </c>
      <c r="H51" t="s">
        <v>129</v>
      </c>
      <c r="J51">
        <v>10</v>
      </c>
      <c r="K51" t="s">
        <v>21</v>
      </c>
      <c r="L51" t="s">
        <v>46</v>
      </c>
      <c r="M51" t="s">
        <v>23</v>
      </c>
      <c r="N51">
        <v>557589.6</v>
      </c>
      <c r="O51">
        <v>148860.09</v>
      </c>
      <c r="P51" t="s">
        <v>65</v>
      </c>
      <c r="Q51" t="s">
        <v>75</v>
      </c>
    </row>
    <row r="52" spans="1:17" x14ac:dyDescent="0.25">
      <c r="A52">
        <v>151</v>
      </c>
      <c r="B52" t="s">
        <v>51</v>
      </c>
      <c r="C52" t="s">
        <v>35</v>
      </c>
      <c r="D52" t="s">
        <v>28</v>
      </c>
      <c r="E52" t="s">
        <v>29</v>
      </c>
      <c r="F52">
        <v>3</v>
      </c>
      <c r="G52">
        <v>39586</v>
      </c>
      <c r="H52" t="s">
        <v>130</v>
      </c>
      <c r="J52">
        <v>15</v>
      </c>
      <c r="K52" t="s">
        <v>58</v>
      </c>
      <c r="L52" t="s">
        <v>31</v>
      </c>
      <c r="M52" t="s">
        <v>39</v>
      </c>
      <c r="N52">
        <v>100944.3</v>
      </c>
      <c r="O52">
        <v>24726.14</v>
      </c>
      <c r="P52" t="s">
        <v>40</v>
      </c>
      <c r="Q52" t="s">
        <v>75</v>
      </c>
    </row>
    <row r="53" spans="1:17" x14ac:dyDescent="0.25">
      <c r="A53">
        <v>152</v>
      </c>
      <c r="B53" t="s">
        <v>67</v>
      </c>
      <c r="C53" t="s">
        <v>17</v>
      </c>
      <c r="D53" t="s">
        <v>76</v>
      </c>
      <c r="E53" t="s">
        <v>92</v>
      </c>
      <c r="F53">
        <v>8</v>
      </c>
      <c r="G53">
        <v>46910</v>
      </c>
      <c r="H53" t="s">
        <v>131</v>
      </c>
      <c r="J53">
        <v>20</v>
      </c>
      <c r="K53" t="s">
        <v>38</v>
      </c>
      <c r="L53" t="s">
        <v>46</v>
      </c>
      <c r="M53" t="s">
        <v>39</v>
      </c>
      <c r="N53">
        <v>300224</v>
      </c>
      <c r="O53">
        <v>65547.600000000006</v>
      </c>
      <c r="P53" t="s">
        <v>24</v>
      </c>
      <c r="Q53" t="s">
        <v>75</v>
      </c>
    </row>
    <row r="54" spans="1:17" x14ac:dyDescent="0.25">
      <c r="A54">
        <v>153</v>
      </c>
      <c r="B54" t="s">
        <v>107</v>
      </c>
      <c r="C54" t="s">
        <v>35</v>
      </c>
      <c r="D54" t="s">
        <v>42</v>
      </c>
      <c r="E54" t="s">
        <v>59</v>
      </c>
      <c r="F54">
        <v>4</v>
      </c>
      <c r="G54">
        <v>20372</v>
      </c>
      <c r="H54" t="s">
        <v>132</v>
      </c>
      <c r="J54">
        <v>15</v>
      </c>
      <c r="K54" t="s">
        <v>38</v>
      </c>
      <c r="L54" t="s">
        <v>46</v>
      </c>
      <c r="M54" t="s">
        <v>47</v>
      </c>
      <c r="N54">
        <v>69264.800000000003</v>
      </c>
      <c r="O54">
        <v>19720.88</v>
      </c>
      <c r="P54" t="s">
        <v>24</v>
      </c>
      <c r="Q54" t="s">
        <v>25</v>
      </c>
    </row>
    <row r="55" spans="1:17" x14ac:dyDescent="0.25">
      <c r="A55">
        <v>154</v>
      </c>
      <c r="B55" t="s">
        <v>109</v>
      </c>
      <c r="C55" t="s">
        <v>27</v>
      </c>
      <c r="D55" t="s">
        <v>69</v>
      </c>
      <c r="E55" t="s">
        <v>70</v>
      </c>
      <c r="F55">
        <v>6</v>
      </c>
      <c r="G55">
        <v>78026</v>
      </c>
      <c r="H55" t="s">
        <v>133</v>
      </c>
      <c r="J55">
        <v>5</v>
      </c>
      <c r="K55" t="s">
        <v>54</v>
      </c>
      <c r="L55" t="s">
        <v>31</v>
      </c>
      <c r="M55" t="s">
        <v>81</v>
      </c>
      <c r="N55">
        <v>444748.2</v>
      </c>
      <c r="O55">
        <v>58554.2</v>
      </c>
      <c r="P55" t="s">
        <v>65</v>
      </c>
      <c r="Q55" t="s">
        <v>56</v>
      </c>
    </row>
    <row r="56" spans="1:17" x14ac:dyDescent="0.25">
      <c r="A56">
        <v>155</v>
      </c>
      <c r="B56" t="s">
        <v>109</v>
      </c>
      <c r="C56" t="s">
        <v>68</v>
      </c>
      <c r="D56" t="s">
        <v>76</v>
      </c>
      <c r="E56" t="s">
        <v>77</v>
      </c>
      <c r="F56">
        <v>1</v>
      </c>
      <c r="G56">
        <v>45956</v>
      </c>
      <c r="H56" t="s">
        <v>134</v>
      </c>
      <c r="J56">
        <v>10</v>
      </c>
      <c r="K56" t="s">
        <v>45</v>
      </c>
      <c r="L56" t="s">
        <v>31</v>
      </c>
      <c r="M56" t="s">
        <v>64</v>
      </c>
      <c r="N56">
        <v>41360.400000000001</v>
      </c>
      <c r="O56">
        <v>3697.85</v>
      </c>
      <c r="P56" t="s">
        <v>33</v>
      </c>
      <c r="Q56" t="s">
        <v>75</v>
      </c>
    </row>
    <row r="57" spans="1:17" x14ac:dyDescent="0.25">
      <c r="A57">
        <v>156</v>
      </c>
      <c r="B57" t="s">
        <v>79</v>
      </c>
      <c r="C57" t="s">
        <v>17</v>
      </c>
      <c r="D57" t="s">
        <v>76</v>
      </c>
      <c r="E57" t="s">
        <v>92</v>
      </c>
      <c r="F57">
        <v>9</v>
      </c>
      <c r="G57">
        <v>31147</v>
      </c>
      <c r="H57" t="s">
        <v>135</v>
      </c>
      <c r="J57">
        <v>10</v>
      </c>
      <c r="K57" t="s">
        <v>45</v>
      </c>
      <c r="L57" t="s">
        <v>31</v>
      </c>
      <c r="M57" t="s">
        <v>50</v>
      </c>
      <c r="N57">
        <v>252290.7</v>
      </c>
      <c r="O57">
        <v>20213.96</v>
      </c>
      <c r="P57" t="s">
        <v>33</v>
      </c>
      <c r="Q57" t="s">
        <v>56</v>
      </c>
    </row>
    <row r="58" spans="1:17" x14ac:dyDescent="0.25">
      <c r="A58">
        <v>157</v>
      </c>
      <c r="B58" t="s">
        <v>109</v>
      </c>
      <c r="C58" t="s">
        <v>68</v>
      </c>
      <c r="D58" t="s">
        <v>42</v>
      </c>
      <c r="E58" t="s">
        <v>59</v>
      </c>
      <c r="F58">
        <v>6</v>
      </c>
      <c r="G58">
        <v>73359</v>
      </c>
      <c r="H58" t="s">
        <v>136</v>
      </c>
      <c r="J58">
        <v>20</v>
      </c>
      <c r="K58" t="s">
        <v>54</v>
      </c>
      <c r="L58" t="s">
        <v>55</v>
      </c>
      <c r="M58" t="s">
        <v>23</v>
      </c>
      <c r="N58">
        <v>352123.2</v>
      </c>
      <c r="O58">
        <v>67477.279999999999</v>
      </c>
      <c r="P58" t="s">
        <v>40</v>
      </c>
      <c r="Q58" t="s">
        <v>25</v>
      </c>
    </row>
    <row r="59" spans="1:17" x14ac:dyDescent="0.25">
      <c r="A59">
        <v>158</v>
      </c>
      <c r="B59" t="s">
        <v>115</v>
      </c>
      <c r="C59" t="s">
        <v>27</v>
      </c>
      <c r="D59" t="s">
        <v>69</v>
      </c>
      <c r="E59" t="s">
        <v>98</v>
      </c>
      <c r="F59">
        <v>8</v>
      </c>
      <c r="G59">
        <v>10344</v>
      </c>
      <c r="H59" t="s">
        <v>137</v>
      </c>
      <c r="J59">
        <v>0</v>
      </c>
      <c r="K59" t="s">
        <v>54</v>
      </c>
      <c r="L59" t="s">
        <v>46</v>
      </c>
      <c r="M59" t="s">
        <v>23</v>
      </c>
      <c r="N59">
        <v>82752</v>
      </c>
      <c r="O59">
        <v>15921.75</v>
      </c>
      <c r="P59" t="s">
        <v>40</v>
      </c>
      <c r="Q59" t="s">
        <v>56</v>
      </c>
    </row>
    <row r="60" spans="1:17" x14ac:dyDescent="0.25">
      <c r="A60">
        <v>159</v>
      </c>
      <c r="B60" t="s">
        <v>61</v>
      </c>
      <c r="C60" t="s">
        <v>35</v>
      </c>
      <c r="D60" t="s">
        <v>28</v>
      </c>
      <c r="E60" t="s">
        <v>29</v>
      </c>
      <c r="F60">
        <v>1</v>
      </c>
      <c r="G60">
        <v>61541</v>
      </c>
      <c r="H60" t="s">
        <v>138</v>
      </c>
      <c r="J60">
        <v>20</v>
      </c>
      <c r="K60" t="s">
        <v>58</v>
      </c>
      <c r="L60" t="s">
        <v>55</v>
      </c>
      <c r="M60" t="s">
        <v>23</v>
      </c>
      <c r="N60">
        <v>49232.800000000003</v>
      </c>
      <c r="O60">
        <v>8931.8700000000008</v>
      </c>
      <c r="P60" t="s">
        <v>65</v>
      </c>
      <c r="Q60" t="s">
        <v>25</v>
      </c>
    </row>
    <row r="61" spans="1:17" x14ac:dyDescent="0.25">
      <c r="A61">
        <v>160</v>
      </c>
      <c r="B61" t="s">
        <v>51</v>
      </c>
      <c r="C61" t="s">
        <v>35</v>
      </c>
      <c r="D61" t="s">
        <v>76</v>
      </c>
      <c r="E61" t="s">
        <v>101</v>
      </c>
      <c r="F61">
        <v>3</v>
      </c>
      <c r="G61">
        <v>20853</v>
      </c>
      <c r="H61" t="s">
        <v>139</v>
      </c>
      <c r="J61">
        <v>10</v>
      </c>
      <c r="K61" t="s">
        <v>74</v>
      </c>
      <c r="L61" t="s">
        <v>31</v>
      </c>
      <c r="M61" t="s">
        <v>64</v>
      </c>
      <c r="N61">
        <v>56303.1</v>
      </c>
      <c r="O61">
        <v>15257.63</v>
      </c>
      <c r="P61" t="s">
        <v>40</v>
      </c>
      <c r="Q61" t="s">
        <v>75</v>
      </c>
    </row>
    <row r="62" spans="1:17" x14ac:dyDescent="0.25">
      <c r="A62">
        <v>161</v>
      </c>
      <c r="B62" t="s">
        <v>115</v>
      </c>
      <c r="C62" t="s">
        <v>27</v>
      </c>
      <c r="D62" t="s">
        <v>28</v>
      </c>
      <c r="E62" t="s">
        <v>48</v>
      </c>
      <c r="F62">
        <v>10</v>
      </c>
      <c r="G62">
        <v>35976</v>
      </c>
      <c r="H62" t="s">
        <v>140</v>
      </c>
      <c r="J62">
        <v>15</v>
      </c>
      <c r="K62" t="s">
        <v>58</v>
      </c>
      <c r="L62" t="s">
        <v>22</v>
      </c>
      <c r="M62" t="s">
        <v>50</v>
      </c>
      <c r="N62">
        <v>305796</v>
      </c>
      <c r="O62">
        <v>51974.17</v>
      </c>
      <c r="P62" t="s">
        <v>40</v>
      </c>
      <c r="Q62" t="s">
        <v>25</v>
      </c>
    </row>
    <row r="63" spans="1:17" x14ac:dyDescent="0.25">
      <c r="A63">
        <v>162</v>
      </c>
      <c r="B63" t="s">
        <v>16</v>
      </c>
      <c r="C63" t="s">
        <v>35</v>
      </c>
      <c r="D63" t="s">
        <v>28</v>
      </c>
      <c r="E63" t="s">
        <v>103</v>
      </c>
      <c r="F63">
        <v>4</v>
      </c>
      <c r="G63">
        <v>59336</v>
      </c>
      <c r="H63" t="s">
        <v>141</v>
      </c>
      <c r="J63">
        <v>10</v>
      </c>
      <c r="K63" t="s">
        <v>54</v>
      </c>
      <c r="L63" t="s">
        <v>55</v>
      </c>
      <c r="M63" t="s">
        <v>39</v>
      </c>
      <c r="N63">
        <v>213609.60000000001</v>
      </c>
      <c r="O63">
        <v>23880.74</v>
      </c>
      <c r="P63" t="s">
        <v>24</v>
      </c>
      <c r="Q63" t="s">
        <v>25</v>
      </c>
    </row>
    <row r="64" spans="1:17" x14ac:dyDescent="0.25">
      <c r="A64">
        <v>163</v>
      </c>
      <c r="B64" t="s">
        <v>51</v>
      </c>
      <c r="C64" t="s">
        <v>17</v>
      </c>
      <c r="D64" t="s">
        <v>42</v>
      </c>
      <c r="E64" t="s">
        <v>43</v>
      </c>
      <c r="F64">
        <v>10</v>
      </c>
      <c r="G64">
        <v>70676</v>
      </c>
      <c r="H64" t="s">
        <v>142</v>
      </c>
      <c r="J64">
        <v>20</v>
      </c>
      <c r="K64" t="s">
        <v>38</v>
      </c>
      <c r="L64" t="s">
        <v>55</v>
      </c>
      <c r="M64" t="s">
        <v>23</v>
      </c>
      <c r="N64">
        <v>565408</v>
      </c>
      <c r="O64">
        <v>112695.38</v>
      </c>
      <c r="P64" t="s">
        <v>33</v>
      </c>
      <c r="Q64" t="s">
        <v>56</v>
      </c>
    </row>
    <row r="65" spans="1:17" x14ac:dyDescent="0.25">
      <c r="A65">
        <v>164</v>
      </c>
      <c r="B65" t="s">
        <v>94</v>
      </c>
      <c r="C65" t="s">
        <v>27</v>
      </c>
      <c r="D65" t="s">
        <v>18</v>
      </c>
      <c r="E65" t="s">
        <v>19</v>
      </c>
      <c r="F65">
        <v>1</v>
      </c>
      <c r="G65">
        <v>5311</v>
      </c>
      <c r="H65" t="s">
        <v>143</v>
      </c>
      <c r="J65">
        <v>5</v>
      </c>
      <c r="K65" t="s">
        <v>45</v>
      </c>
      <c r="L65" t="s">
        <v>55</v>
      </c>
      <c r="M65" t="s">
        <v>50</v>
      </c>
      <c r="N65">
        <v>5045.45</v>
      </c>
      <c r="O65">
        <v>1096.5</v>
      </c>
      <c r="P65" t="s">
        <v>65</v>
      </c>
      <c r="Q65" t="s">
        <v>75</v>
      </c>
    </row>
    <row r="66" spans="1:17" x14ac:dyDescent="0.25">
      <c r="A66">
        <v>165</v>
      </c>
      <c r="B66" t="s">
        <v>51</v>
      </c>
      <c r="C66" t="s">
        <v>27</v>
      </c>
      <c r="D66" t="s">
        <v>18</v>
      </c>
      <c r="E66" t="s">
        <v>72</v>
      </c>
      <c r="F66">
        <v>9</v>
      </c>
      <c r="G66">
        <v>72541</v>
      </c>
      <c r="H66" t="s">
        <v>144</v>
      </c>
      <c r="J66">
        <v>15</v>
      </c>
      <c r="K66" t="s">
        <v>45</v>
      </c>
      <c r="L66" t="s">
        <v>55</v>
      </c>
      <c r="M66" t="s">
        <v>50</v>
      </c>
      <c r="N66">
        <v>554938.65</v>
      </c>
      <c r="O66">
        <v>99375.360000000001</v>
      </c>
      <c r="P66" t="s">
        <v>33</v>
      </c>
      <c r="Q66" t="s">
        <v>75</v>
      </c>
    </row>
    <row r="67" spans="1:17" x14ac:dyDescent="0.25">
      <c r="A67">
        <v>166</v>
      </c>
      <c r="B67" t="s">
        <v>115</v>
      </c>
      <c r="C67" t="s">
        <v>35</v>
      </c>
      <c r="D67" t="s">
        <v>18</v>
      </c>
      <c r="E67" t="s">
        <v>72</v>
      </c>
      <c r="F67">
        <v>2</v>
      </c>
      <c r="G67">
        <v>69922</v>
      </c>
      <c r="H67" t="s">
        <v>145</v>
      </c>
      <c r="J67">
        <v>15</v>
      </c>
      <c r="K67" t="s">
        <v>21</v>
      </c>
      <c r="L67" t="s">
        <v>55</v>
      </c>
      <c r="M67" t="s">
        <v>32</v>
      </c>
      <c r="N67">
        <v>118867.4</v>
      </c>
      <c r="O67">
        <v>30429.54</v>
      </c>
      <c r="P67" t="s">
        <v>24</v>
      </c>
      <c r="Q67" t="s">
        <v>25</v>
      </c>
    </row>
    <row r="68" spans="1:17" x14ac:dyDescent="0.25">
      <c r="A68">
        <v>167</v>
      </c>
      <c r="B68" t="s">
        <v>79</v>
      </c>
      <c r="C68" t="s">
        <v>68</v>
      </c>
      <c r="D68" t="s">
        <v>18</v>
      </c>
      <c r="E68" t="s">
        <v>72</v>
      </c>
      <c r="F68">
        <v>8</v>
      </c>
      <c r="G68">
        <v>48736</v>
      </c>
      <c r="H68" t="s">
        <v>146</v>
      </c>
      <c r="J68">
        <v>20</v>
      </c>
      <c r="K68" t="s">
        <v>58</v>
      </c>
      <c r="L68" t="s">
        <v>22</v>
      </c>
      <c r="M68" t="s">
        <v>23</v>
      </c>
      <c r="N68">
        <v>311910.40000000002</v>
      </c>
      <c r="O68">
        <v>89288.88</v>
      </c>
      <c r="P68" t="s">
        <v>40</v>
      </c>
      <c r="Q68" t="s">
        <v>25</v>
      </c>
    </row>
    <row r="69" spans="1:17" x14ac:dyDescent="0.25">
      <c r="A69">
        <v>168</v>
      </c>
      <c r="B69" t="s">
        <v>109</v>
      </c>
      <c r="C69" t="s">
        <v>27</v>
      </c>
      <c r="D69" t="s">
        <v>18</v>
      </c>
      <c r="E69" t="s">
        <v>36</v>
      </c>
      <c r="F69">
        <v>4</v>
      </c>
      <c r="G69">
        <v>24243</v>
      </c>
      <c r="H69" t="s">
        <v>147</v>
      </c>
      <c r="J69">
        <v>10</v>
      </c>
      <c r="K69" t="s">
        <v>74</v>
      </c>
      <c r="L69" t="s">
        <v>46</v>
      </c>
      <c r="M69" t="s">
        <v>50</v>
      </c>
      <c r="N69">
        <v>87274.8</v>
      </c>
      <c r="O69">
        <v>21571.06</v>
      </c>
      <c r="P69" t="s">
        <v>65</v>
      </c>
      <c r="Q69" t="s">
        <v>25</v>
      </c>
    </row>
    <row r="70" spans="1:17" x14ac:dyDescent="0.25">
      <c r="A70">
        <v>169</v>
      </c>
      <c r="B70" t="s">
        <v>115</v>
      </c>
      <c r="C70" t="s">
        <v>35</v>
      </c>
      <c r="D70" t="s">
        <v>76</v>
      </c>
      <c r="E70" t="s">
        <v>92</v>
      </c>
      <c r="F70">
        <v>3</v>
      </c>
      <c r="G70">
        <v>40641</v>
      </c>
      <c r="H70" t="s">
        <v>148</v>
      </c>
      <c r="J70">
        <v>0</v>
      </c>
      <c r="K70" t="s">
        <v>74</v>
      </c>
      <c r="L70" t="s">
        <v>55</v>
      </c>
      <c r="M70" t="s">
        <v>47</v>
      </c>
      <c r="N70">
        <v>121923</v>
      </c>
      <c r="O70">
        <v>25782.69</v>
      </c>
      <c r="P70" t="s">
        <v>65</v>
      </c>
      <c r="Q70" t="s">
        <v>56</v>
      </c>
    </row>
    <row r="71" spans="1:17" x14ac:dyDescent="0.25">
      <c r="A71">
        <v>170</v>
      </c>
      <c r="B71" t="s">
        <v>79</v>
      </c>
      <c r="C71" t="s">
        <v>68</v>
      </c>
      <c r="D71" t="s">
        <v>28</v>
      </c>
      <c r="E71" t="s">
        <v>48</v>
      </c>
      <c r="F71">
        <v>3</v>
      </c>
      <c r="G71">
        <v>78739</v>
      </c>
      <c r="H71" t="s">
        <v>149</v>
      </c>
      <c r="J71">
        <v>20</v>
      </c>
      <c r="K71" t="s">
        <v>45</v>
      </c>
      <c r="L71" t="s">
        <v>55</v>
      </c>
      <c r="M71" t="s">
        <v>50</v>
      </c>
      <c r="N71">
        <v>188973.6</v>
      </c>
      <c r="O71">
        <v>56277.2</v>
      </c>
      <c r="P71" t="s">
        <v>40</v>
      </c>
      <c r="Q71" t="s">
        <v>75</v>
      </c>
    </row>
    <row r="72" spans="1:17" x14ac:dyDescent="0.25">
      <c r="A72">
        <v>171</v>
      </c>
      <c r="B72" t="s">
        <v>26</v>
      </c>
      <c r="C72" t="s">
        <v>35</v>
      </c>
      <c r="D72" t="s">
        <v>69</v>
      </c>
      <c r="E72" t="s">
        <v>70</v>
      </c>
      <c r="F72">
        <v>7</v>
      </c>
      <c r="G72">
        <v>73905</v>
      </c>
      <c r="H72" t="s">
        <v>150</v>
      </c>
      <c r="J72">
        <v>10</v>
      </c>
      <c r="K72" t="s">
        <v>21</v>
      </c>
      <c r="L72" t="s">
        <v>31</v>
      </c>
      <c r="M72" t="s">
        <v>81</v>
      </c>
      <c r="N72">
        <v>465601.5</v>
      </c>
      <c r="O72">
        <v>70348.88</v>
      </c>
      <c r="P72" t="s">
        <v>40</v>
      </c>
      <c r="Q72" t="s">
        <v>75</v>
      </c>
    </row>
    <row r="73" spans="1:17" x14ac:dyDescent="0.25">
      <c r="A73">
        <v>172</v>
      </c>
      <c r="B73" t="s">
        <v>67</v>
      </c>
      <c r="C73" t="s">
        <v>27</v>
      </c>
      <c r="D73" t="s">
        <v>42</v>
      </c>
      <c r="E73" t="s">
        <v>43</v>
      </c>
      <c r="F73">
        <v>7</v>
      </c>
      <c r="G73">
        <v>26256</v>
      </c>
      <c r="H73" t="s">
        <v>151</v>
      </c>
      <c r="J73">
        <v>20</v>
      </c>
      <c r="K73" t="s">
        <v>58</v>
      </c>
      <c r="L73" t="s">
        <v>31</v>
      </c>
      <c r="M73" t="s">
        <v>50</v>
      </c>
      <c r="N73">
        <v>147033.60000000001</v>
      </c>
      <c r="O73">
        <v>42407.99</v>
      </c>
      <c r="P73" t="s">
        <v>33</v>
      </c>
      <c r="Q73" t="s">
        <v>56</v>
      </c>
    </row>
    <row r="74" spans="1:17" x14ac:dyDescent="0.25">
      <c r="A74">
        <v>173</v>
      </c>
      <c r="B74" t="s">
        <v>115</v>
      </c>
      <c r="C74" t="s">
        <v>35</v>
      </c>
      <c r="D74" t="s">
        <v>69</v>
      </c>
      <c r="E74" t="s">
        <v>98</v>
      </c>
      <c r="F74">
        <v>6</v>
      </c>
      <c r="G74">
        <v>14874</v>
      </c>
      <c r="H74" t="s">
        <v>152</v>
      </c>
      <c r="J74">
        <v>10</v>
      </c>
      <c r="K74" t="s">
        <v>45</v>
      </c>
      <c r="L74" t="s">
        <v>31</v>
      </c>
      <c r="M74" t="s">
        <v>64</v>
      </c>
      <c r="N74">
        <v>80319.600000000006</v>
      </c>
      <c r="O74">
        <v>16583.28</v>
      </c>
      <c r="P74" t="s">
        <v>33</v>
      </c>
      <c r="Q74" t="s">
        <v>25</v>
      </c>
    </row>
    <row r="75" spans="1:17" x14ac:dyDescent="0.25">
      <c r="A75">
        <v>174</v>
      </c>
      <c r="B75" t="s">
        <v>16</v>
      </c>
      <c r="C75" t="s">
        <v>27</v>
      </c>
      <c r="D75" t="s">
        <v>28</v>
      </c>
      <c r="E75" t="s">
        <v>29</v>
      </c>
      <c r="F75">
        <v>1</v>
      </c>
      <c r="G75">
        <v>24094</v>
      </c>
      <c r="H75" t="s">
        <v>111</v>
      </c>
      <c r="J75">
        <v>15</v>
      </c>
      <c r="K75" t="s">
        <v>74</v>
      </c>
      <c r="L75" t="s">
        <v>22</v>
      </c>
      <c r="M75" t="s">
        <v>100</v>
      </c>
      <c r="N75">
        <v>20479.900000000001</v>
      </c>
      <c r="O75">
        <v>5892.7</v>
      </c>
      <c r="P75" t="s">
        <v>40</v>
      </c>
      <c r="Q75" t="s">
        <v>75</v>
      </c>
    </row>
    <row r="76" spans="1:17" x14ac:dyDescent="0.25">
      <c r="A76">
        <v>175</v>
      </c>
      <c r="B76" t="s">
        <v>41</v>
      </c>
      <c r="C76" t="s">
        <v>68</v>
      </c>
      <c r="D76" t="s">
        <v>18</v>
      </c>
      <c r="E76" t="s">
        <v>19</v>
      </c>
      <c r="F76">
        <v>10</v>
      </c>
      <c r="G76">
        <v>36475</v>
      </c>
      <c r="H76" t="s">
        <v>153</v>
      </c>
      <c r="J76">
        <v>5</v>
      </c>
      <c r="K76" t="s">
        <v>38</v>
      </c>
      <c r="L76" t="s">
        <v>22</v>
      </c>
      <c r="M76" t="s">
        <v>81</v>
      </c>
      <c r="N76">
        <v>346512.5</v>
      </c>
      <c r="O76">
        <v>27992.71</v>
      </c>
      <c r="P76" t="s">
        <v>40</v>
      </c>
      <c r="Q76" t="s">
        <v>25</v>
      </c>
    </row>
    <row r="77" spans="1:17" x14ac:dyDescent="0.25">
      <c r="A77">
        <v>176</v>
      </c>
      <c r="B77" t="s">
        <v>94</v>
      </c>
      <c r="C77" t="s">
        <v>35</v>
      </c>
      <c r="D77" t="s">
        <v>42</v>
      </c>
      <c r="E77" t="s">
        <v>43</v>
      </c>
      <c r="F77">
        <v>6</v>
      </c>
      <c r="G77">
        <v>17495</v>
      </c>
      <c r="H77" t="s">
        <v>154</v>
      </c>
      <c r="J77">
        <v>10</v>
      </c>
      <c r="K77" t="s">
        <v>21</v>
      </c>
      <c r="L77" t="s">
        <v>22</v>
      </c>
      <c r="M77" t="s">
        <v>50</v>
      </c>
      <c r="N77">
        <v>94473</v>
      </c>
      <c r="O77">
        <v>20255.38</v>
      </c>
      <c r="P77" t="s">
        <v>33</v>
      </c>
      <c r="Q77" t="s">
        <v>75</v>
      </c>
    </row>
    <row r="78" spans="1:17" x14ac:dyDescent="0.25">
      <c r="A78">
        <v>177</v>
      </c>
      <c r="B78" t="s">
        <v>67</v>
      </c>
      <c r="C78" t="s">
        <v>35</v>
      </c>
      <c r="D78" t="s">
        <v>18</v>
      </c>
      <c r="E78" t="s">
        <v>62</v>
      </c>
      <c r="F78">
        <v>9</v>
      </c>
      <c r="G78">
        <v>38379</v>
      </c>
      <c r="H78" t="s">
        <v>155</v>
      </c>
      <c r="J78">
        <v>20</v>
      </c>
      <c r="K78" t="s">
        <v>58</v>
      </c>
      <c r="L78" t="s">
        <v>31</v>
      </c>
      <c r="M78" t="s">
        <v>81</v>
      </c>
      <c r="N78">
        <v>276328.8</v>
      </c>
      <c r="O78">
        <v>41330.28</v>
      </c>
      <c r="P78" t="s">
        <v>65</v>
      </c>
      <c r="Q78" t="s">
        <v>56</v>
      </c>
    </row>
    <row r="79" spans="1:17" x14ac:dyDescent="0.25">
      <c r="A79">
        <v>178</v>
      </c>
      <c r="B79" t="s">
        <v>109</v>
      </c>
      <c r="C79" t="s">
        <v>17</v>
      </c>
      <c r="D79" t="s">
        <v>42</v>
      </c>
      <c r="E79" t="s">
        <v>52</v>
      </c>
      <c r="F79">
        <v>3</v>
      </c>
      <c r="G79">
        <v>46198</v>
      </c>
      <c r="H79" t="s">
        <v>156</v>
      </c>
      <c r="J79">
        <v>5</v>
      </c>
      <c r="K79" t="s">
        <v>58</v>
      </c>
      <c r="L79" t="s">
        <v>31</v>
      </c>
      <c r="M79" t="s">
        <v>32</v>
      </c>
      <c r="N79">
        <v>131664.29999999999</v>
      </c>
      <c r="O79">
        <v>12128.46</v>
      </c>
      <c r="P79" t="s">
        <v>65</v>
      </c>
      <c r="Q79" t="s">
        <v>56</v>
      </c>
    </row>
    <row r="80" spans="1:17" x14ac:dyDescent="0.25">
      <c r="A80">
        <v>179</v>
      </c>
      <c r="B80" t="s">
        <v>94</v>
      </c>
      <c r="C80" t="s">
        <v>27</v>
      </c>
      <c r="D80" t="s">
        <v>69</v>
      </c>
      <c r="E80" t="s">
        <v>70</v>
      </c>
      <c r="F80">
        <v>9</v>
      </c>
      <c r="G80">
        <v>53438</v>
      </c>
      <c r="H80" t="s">
        <v>157</v>
      </c>
      <c r="J80">
        <v>20</v>
      </c>
      <c r="K80" t="s">
        <v>74</v>
      </c>
      <c r="L80" t="s">
        <v>55</v>
      </c>
      <c r="M80" t="s">
        <v>23</v>
      </c>
      <c r="N80">
        <v>384753.6</v>
      </c>
      <c r="O80">
        <v>44431.35</v>
      </c>
      <c r="P80" t="s">
        <v>33</v>
      </c>
      <c r="Q80" t="s">
        <v>56</v>
      </c>
    </row>
    <row r="81" spans="1:17" x14ac:dyDescent="0.25">
      <c r="A81">
        <v>180</v>
      </c>
      <c r="B81" t="s">
        <v>96</v>
      </c>
      <c r="C81" t="s">
        <v>68</v>
      </c>
      <c r="D81" t="s">
        <v>28</v>
      </c>
      <c r="E81" t="s">
        <v>48</v>
      </c>
      <c r="F81">
        <v>3</v>
      </c>
      <c r="G81">
        <v>27939</v>
      </c>
      <c r="H81" t="s">
        <v>158</v>
      </c>
      <c r="J81">
        <v>20</v>
      </c>
      <c r="K81" t="s">
        <v>38</v>
      </c>
      <c r="L81" t="s">
        <v>22</v>
      </c>
      <c r="M81" t="s">
        <v>100</v>
      </c>
      <c r="N81">
        <v>67053.600000000006</v>
      </c>
      <c r="O81">
        <v>16896.919999999998</v>
      </c>
      <c r="P81" t="s">
        <v>33</v>
      </c>
      <c r="Q81" t="s">
        <v>75</v>
      </c>
    </row>
    <row r="82" spans="1:17" x14ac:dyDescent="0.25">
      <c r="A82">
        <v>181</v>
      </c>
      <c r="B82" t="s">
        <v>107</v>
      </c>
      <c r="C82" t="s">
        <v>27</v>
      </c>
      <c r="D82" t="s">
        <v>28</v>
      </c>
      <c r="E82" t="s">
        <v>103</v>
      </c>
      <c r="F82">
        <v>7</v>
      </c>
      <c r="G82">
        <v>18215</v>
      </c>
      <c r="H82" t="s">
        <v>159</v>
      </c>
      <c r="J82">
        <v>5</v>
      </c>
      <c r="K82" t="s">
        <v>45</v>
      </c>
      <c r="L82" t="s">
        <v>31</v>
      </c>
      <c r="M82" t="s">
        <v>64</v>
      </c>
      <c r="N82">
        <v>121129.75</v>
      </c>
      <c r="O82">
        <v>27877.18</v>
      </c>
      <c r="P82" t="s">
        <v>40</v>
      </c>
      <c r="Q82" t="s">
        <v>25</v>
      </c>
    </row>
    <row r="83" spans="1:17" x14ac:dyDescent="0.25">
      <c r="A83">
        <v>182</v>
      </c>
      <c r="B83" t="s">
        <v>16</v>
      </c>
      <c r="C83" t="s">
        <v>17</v>
      </c>
      <c r="D83" t="s">
        <v>18</v>
      </c>
      <c r="E83" t="s">
        <v>36</v>
      </c>
      <c r="F83">
        <v>6</v>
      </c>
      <c r="G83">
        <v>7126</v>
      </c>
      <c r="H83" t="s">
        <v>160</v>
      </c>
      <c r="J83">
        <v>20</v>
      </c>
      <c r="K83" t="s">
        <v>21</v>
      </c>
      <c r="L83" t="s">
        <v>22</v>
      </c>
      <c r="M83" t="s">
        <v>81</v>
      </c>
      <c r="N83">
        <v>34204.800000000003</v>
      </c>
      <c r="O83">
        <v>7250.13</v>
      </c>
      <c r="P83" t="s">
        <v>40</v>
      </c>
      <c r="Q83" t="s">
        <v>56</v>
      </c>
    </row>
    <row r="84" spans="1:17" x14ac:dyDescent="0.25">
      <c r="A84">
        <v>183</v>
      </c>
      <c r="B84" t="s">
        <v>41</v>
      </c>
      <c r="C84" t="s">
        <v>27</v>
      </c>
      <c r="D84" t="s">
        <v>42</v>
      </c>
      <c r="E84" t="s">
        <v>52</v>
      </c>
      <c r="F84">
        <v>6</v>
      </c>
      <c r="G84">
        <v>16140</v>
      </c>
      <c r="H84" t="s">
        <v>161</v>
      </c>
      <c r="J84">
        <v>10</v>
      </c>
      <c r="K84" t="s">
        <v>74</v>
      </c>
      <c r="L84" t="s">
        <v>22</v>
      </c>
      <c r="M84" t="s">
        <v>100</v>
      </c>
      <c r="N84">
        <v>87156</v>
      </c>
      <c r="O84">
        <v>22178.74</v>
      </c>
      <c r="P84" t="s">
        <v>40</v>
      </c>
      <c r="Q84" t="s">
        <v>56</v>
      </c>
    </row>
    <row r="85" spans="1:17" x14ac:dyDescent="0.25">
      <c r="A85">
        <v>184</v>
      </c>
      <c r="B85" t="s">
        <v>79</v>
      </c>
      <c r="C85" t="s">
        <v>35</v>
      </c>
      <c r="D85" t="s">
        <v>28</v>
      </c>
      <c r="E85" t="s">
        <v>48</v>
      </c>
      <c r="F85">
        <v>1</v>
      </c>
      <c r="G85">
        <v>67950</v>
      </c>
      <c r="H85" t="s">
        <v>162</v>
      </c>
      <c r="J85">
        <v>0</v>
      </c>
      <c r="K85" t="s">
        <v>54</v>
      </c>
      <c r="L85" t="s">
        <v>31</v>
      </c>
      <c r="M85" t="s">
        <v>100</v>
      </c>
      <c r="N85">
        <v>67950</v>
      </c>
      <c r="O85">
        <v>13385.17</v>
      </c>
      <c r="P85" t="s">
        <v>40</v>
      </c>
      <c r="Q85" t="s">
        <v>75</v>
      </c>
    </row>
    <row r="86" spans="1:17" x14ac:dyDescent="0.25">
      <c r="A86">
        <v>185</v>
      </c>
      <c r="B86" t="s">
        <v>109</v>
      </c>
      <c r="C86" t="s">
        <v>27</v>
      </c>
      <c r="D86" t="s">
        <v>28</v>
      </c>
      <c r="E86" t="s">
        <v>48</v>
      </c>
      <c r="F86">
        <v>1</v>
      </c>
      <c r="G86">
        <v>531</v>
      </c>
      <c r="H86" t="s">
        <v>163</v>
      </c>
      <c r="J86">
        <v>15</v>
      </c>
      <c r="K86" t="s">
        <v>54</v>
      </c>
      <c r="L86" t="s">
        <v>22</v>
      </c>
      <c r="M86" t="s">
        <v>47</v>
      </c>
      <c r="N86">
        <v>451.35</v>
      </c>
      <c r="O86">
        <v>90.87</v>
      </c>
      <c r="P86" t="s">
        <v>24</v>
      </c>
      <c r="Q86" t="s">
        <v>25</v>
      </c>
    </row>
    <row r="87" spans="1:17" x14ac:dyDescent="0.25">
      <c r="A87">
        <v>186</v>
      </c>
      <c r="B87" t="s">
        <v>61</v>
      </c>
      <c r="C87" t="s">
        <v>35</v>
      </c>
      <c r="D87" t="s">
        <v>18</v>
      </c>
      <c r="E87" t="s">
        <v>62</v>
      </c>
      <c r="F87">
        <v>5</v>
      </c>
      <c r="G87">
        <v>20290</v>
      </c>
      <c r="H87" t="s">
        <v>164</v>
      </c>
      <c r="J87">
        <v>15</v>
      </c>
      <c r="K87" t="s">
        <v>58</v>
      </c>
      <c r="L87" t="s">
        <v>31</v>
      </c>
      <c r="M87" t="s">
        <v>32</v>
      </c>
      <c r="N87">
        <v>86232.5</v>
      </c>
      <c r="O87">
        <v>13182.75</v>
      </c>
      <c r="P87" t="s">
        <v>40</v>
      </c>
      <c r="Q87" t="s">
        <v>75</v>
      </c>
    </row>
    <row r="88" spans="1:17" x14ac:dyDescent="0.25">
      <c r="A88">
        <v>187</v>
      </c>
      <c r="B88" t="s">
        <v>67</v>
      </c>
      <c r="C88" t="s">
        <v>27</v>
      </c>
      <c r="D88" t="s">
        <v>76</v>
      </c>
      <c r="E88" t="s">
        <v>92</v>
      </c>
      <c r="F88">
        <v>1</v>
      </c>
      <c r="G88">
        <v>26462</v>
      </c>
      <c r="H88" t="s">
        <v>136</v>
      </c>
      <c r="J88">
        <v>0</v>
      </c>
      <c r="K88" t="s">
        <v>38</v>
      </c>
      <c r="L88" t="s">
        <v>22</v>
      </c>
      <c r="M88" t="s">
        <v>47</v>
      </c>
      <c r="N88">
        <v>26462</v>
      </c>
      <c r="O88">
        <v>7508</v>
      </c>
      <c r="P88" t="s">
        <v>33</v>
      </c>
      <c r="Q88" t="s">
        <v>56</v>
      </c>
    </row>
    <row r="89" spans="1:17" x14ac:dyDescent="0.25">
      <c r="A89">
        <v>188</v>
      </c>
      <c r="B89" t="s">
        <v>26</v>
      </c>
      <c r="C89" t="s">
        <v>17</v>
      </c>
      <c r="D89" t="s">
        <v>42</v>
      </c>
      <c r="E89" t="s">
        <v>52</v>
      </c>
      <c r="F89">
        <v>3</v>
      </c>
      <c r="G89">
        <v>8900</v>
      </c>
      <c r="H89" t="s">
        <v>20</v>
      </c>
      <c r="J89">
        <v>5</v>
      </c>
      <c r="K89" t="s">
        <v>38</v>
      </c>
      <c r="L89" t="s">
        <v>31</v>
      </c>
      <c r="M89" t="s">
        <v>32</v>
      </c>
      <c r="N89">
        <v>25365</v>
      </c>
      <c r="O89">
        <v>6316.92</v>
      </c>
      <c r="P89" t="s">
        <v>33</v>
      </c>
      <c r="Q89" t="s">
        <v>56</v>
      </c>
    </row>
    <row r="90" spans="1:17" x14ac:dyDescent="0.25">
      <c r="A90">
        <v>189</v>
      </c>
      <c r="B90" t="s">
        <v>94</v>
      </c>
      <c r="C90" t="s">
        <v>68</v>
      </c>
      <c r="D90" t="s">
        <v>28</v>
      </c>
      <c r="E90" t="s">
        <v>103</v>
      </c>
      <c r="F90">
        <v>9</v>
      </c>
      <c r="G90">
        <v>23010</v>
      </c>
      <c r="H90" t="s">
        <v>165</v>
      </c>
      <c r="J90">
        <v>20</v>
      </c>
      <c r="K90" t="s">
        <v>58</v>
      </c>
      <c r="L90" t="s">
        <v>55</v>
      </c>
      <c r="M90" t="s">
        <v>39</v>
      </c>
      <c r="N90">
        <v>165672</v>
      </c>
      <c r="O90">
        <v>14301.12</v>
      </c>
      <c r="P90" t="s">
        <v>65</v>
      </c>
      <c r="Q90" t="s">
        <v>75</v>
      </c>
    </row>
    <row r="91" spans="1:17" x14ac:dyDescent="0.25">
      <c r="A91">
        <v>190</v>
      </c>
      <c r="B91" t="s">
        <v>16</v>
      </c>
      <c r="C91" t="s">
        <v>68</v>
      </c>
      <c r="D91" t="s">
        <v>42</v>
      </c>
      <c r="E91" t="s">
        <v>52</v>
      </c>
      <c r="F91">
        <v>2</v>
      </c>
      <c r="G91">
        <v>50188</v>
      </c>
      <c r="H91" t="s">
        <v>166</v>
      </c>
      <c r="J91">
        <v>0</v>
      </c>
      <c r="K91" t="s">
        <v>21</v>
      </c>
      <c r="L91" t="s">
        <v>46</v>
      </c>
      <c r="M91" t="s">
        <v>81</v>
      </c>
      <c r="N91">
        <v>100376</v>
      </c>
      <c r="O91">
        <v>21799</v>
      </c>
      <c r="P91" t="s">
        <v>40</v>
      </c>
      <c r="Q91" t="s">
        <v>75</v>
      </c>
    </row>
    <row r="92" spans="1:17" x14ac:dyDescent="0.25">
      <c r="A92">
        <v>191</v>
      </c>
      <c r="B92" t="s">
        <v>51</v>
      </c>
      <c r="C92" t="s">
        <v>35</v>
      </c>
      <c r="D92" t="s">
        <v>42</v>
      </c>
      <c r="E92" t="s">
        <v>52</v>
      </c>
      <c r="F92">
        <v>4</v>
      </c>
      <c r="G92">
        <v>68903</v>
      </c>
      <c r="H92" t="s">
        <v>167</v>
      </c>
      <c r="J92">
        <v>10</v>
      </c>
      <c r="K92" t="s">
        <v>54</v>
      </c>
      <c r="L92" t="s">
        <v>46</v>
      </c>
      <c r="M92" t="s">
        <v>64</v>
      </c>
      <c r="N92">
        <v>248050.8</v>
      </c>
      <c r="O92">
        <v>46621.75</v>
      </c>
      <c r="P92" t="s">
        <v>33</v>
      </c>
      <c r="Q92" t="s">
        <v>75</v>
      </c>
    </row>
    <row r="93" spans="1:17" x14ac:dyDescent="0.25">
      <c r="A93">
        <v>192</v>
      </c>
      <c r="B93" t="s">
        <v>84</v>
      </c>
      <c r="C93" t="s">
        <v>17</v>
      </c>
      <c r="D93" t="s">
        <v>18</v>
      </c>
      <c r="E93" t="s">
        <v>36</v>
      </c>
      <c r="F93">
        <v>2</v>
      </c>
      <c r="G93">
        <v>68338</v>
      </c>
      <c r="H93" t="s">
        <v>168</v>
      </c>
      <c r="J93">
        <v>0</v>
      </c>
      <c r="K93" t="s">
        <v>21</v>
      </c>
      <c r="L93" t="s">
        <v>46</v>
      </c>
      <c r="M93" t="s">
        <v>50</v>
      </c>
      <c r="N93">
        <v>136676</v>
      </c>
      <c r="O93">
        <v>18991.43</v>
      </c>
      <c r="P93" t="s">
        <v>40</v>
      </c>
      <c r="Q93" t="s">
        <v>25</v>
      </c>
    </row>
    <row r="94" spans="1:17" x14ac:dyDescent="0.25">
      <c r="A94">
        <v>193</v>
      </c>
      <c r="B94" t="s">
        <v>61</v>
      </c>
      <c r="C94" t="s">
        <v>17</v>
      </c>
      <c r="D94" t="s">
        <v>28</v>
      </c>
      <c r="E94" t="s">
        <v>103</v>
      </c>
      <c r="F94">
        <v>2</v>
      </c>
      <c r="G94">
        <v>75659</v>
      </c>
      <c r="H94" t="s">
        <v>169</v>
      </c>
      <c r="J94">
        <v>15</v>
      </c>
      <c r="K94" t="s">
        <v>74</v>
      </c>
      <c r="L94" t="s">
        <v>31</v>
      </c>
      <c r="M94" t="s">
        <v>50</v>
      </c>
      <c r="N94">
        <v>128620.3</v>
      </c>
      <c r="O94">
        <v>16604.27</v>
      </c>
      <c r="P94" t="s">
        <v>65</v>
      </c>
      <c r="Q94" t="s">
        <v>75</v>
      </c>
    </row>
    <row r="95" spans="1:17" x14ac:dyDescent="0.25">
      <c r="A95">
        <v>194</v>
      </c>
      <c r="B95" t="s">
        <v>26</v>
      </c>
      <c r="C95" t="s">
        <v>27</v>
      </c>
      <c r="D95" t="s">
        <v>76</v>
      </c>
      <c r="E95" t="s">
        <v>101</v>
      </c>
      <c r="F95">
        <v>8</v>
      </c>
      <c r="G95">
        <v>900</v>
      </c>
      <c r="H95" t="s">
        <v>170</v>
      </c>
      <c r="J95">
        <v>15</v>
      </c>
      <c r="K95" t="s">
        <v>54</v>
      </c>
      <c r="L95" t="s">
        <v>46</v>
      </c>
      <c r="M95" t="s">
        <v>100</v>
      </c>
      <c r="N95">
        <v>6120</v>
      </c>
      <c r="O95">
        <v>825.74</v>
      </c>
      <c r="P95" t="s">
        <v>33</v>
      </c>
      <c r="Q95" t="s">
        <v>25</v>
      </c>
    </row>
    <row r="96" spans="1:17" x14ac:dyDescent="0.25">
      <c r="A96">
        <v>195</v>
      </c>
      <c r="B96" t="s">
        <v>16</v>
      </c>
      <c r="C96" t="s">
        <v>17</v>
      </c>
      <c r="D96" t="s">
        <v>76</v>
      </c>
      <c r="E96" t="s">
        <v>92</v>
      </c>
      <c r="F96">
        <v>8</v>
      </c>
      <c r="G96">
        <v>28069</v>
      </c>
      <c r="H96" t="s">
        <v>171</v>
      </c>
      <c r="J96">
        <v>10</v>
      </c>
      <c r="K96" t="s">
        <v>74</v>
      </c>
      <c r="L96" t="s">
        <v>55</v>
      </c>
      <c r="M96" t="s">
        <v>47</v>
      </c>
      <c r="N96">
        <v>202096.8</v>
      </c>
      <c r="O96">
        <v>49761.02</v>
      </c>
      <c r="P96" t="s">
        <v>33</v>
      </c>
      <c r="Q96" t="s">
        <v>56</v>
      </c>
    </row>
    <row r="97" spans="1:17" x14ac:dyDescent="0.25">
      <c r="A97">
        <v>196</v>
      </c>
      <c r="B97" t="s">
        <v>34</v>
      </c>
      <c r="C97" t="s">
        <v>27</v>
      </c>
      <c r="D97" t="s">
        <v>18</v>
      </c>
      <c r="E97" t="s">
        <v>19</v>
      </c>
      <c r="F97">
        <v>2</v>
      </c>
      <c r="G97">
        <v>67551</v>
      </c>
      <c r="H97" t="s">
        <v>172</v>
      </c>
      <c r="J97">
        <v>10</v>
      </c>
      <c r="K97" t="s">
        <v>21</v>
      </c>
      <c r="L97" t="s">
        <v>46</v>
      </c>
      <c r="M97" t="s">
        <v>39</v>
      </c>
      <c r="N97">
        <v>121591.8</v>
      </c>
      <c r="O97">
        <v>13046.01</v>
      </c>
      <c r="P97" t="s">
        <v>33</v>
      </c>
      <c r="Q97" t="s">
        <v>75</v>
      </c>
    </row>
    <row r="98" spans="1:17" x14ac:dyDescent="0.25">
      <c r="A98">
        <v>197</v>
      </c>
      <c r="B98" t="s">
        <v>96</v>
      </c>
      <c r="C98" t="s">
        <v>68</v>
      </c>
      <c r="D98" t="s">
        <v>69</v>
      </c>
      <c r="E98" t="s">
        <v>121</v>
      </c>
      <c r="F98">
        <v>5</v>
      </c>
      <c r="G98">
        <v>54669</v>
      </c>
      <c r="H98" t="s">
        <v>165</v>
      </c>
      <c r="J98">
        <v>20</v>
      </c>
      <c r="K98" t="s">
        <v>21</v>
      </c>
      <c r="L98" t="s">
        <v>46</v>
      </c>
      <c r="M98" t="s">
        <v>39</v>
      </c>
      <c r="N98">
        <v>218676</v>
      </c>
      <c r="O98">
        <v>62244.53</v>
      </c>
      <c r="P98" t="s">
        <v>24</v>
      </c>
      <c r="Q98" t="s">
        <v>25</v>
      </c>
    </row>
    <row r="99" spans="1:17" x14ac:dyDescent="0.25">
      <c r="A99">
        <v>198</v>
      </c>
      <c r="B99" t="s">
        <v>41</v>
      </c>
      <c r="C99" t="s">
        <v>68</v>
      </c>
      <c r="D99" t="s">
        <v>18</v>
      </c>
      <c r="E99" t="s">
        <v>62</v>
      </c>
      <c r="F99">
        <v>10</v>
      </c>
      <c r="G99">
        <v>10436</v>
      </c>
      <c r="H99" t="s">
        <v>173</v>
      </c>
      <c r="J99">
        <v>20</v>
      </c>
      <c r="K99" t="s">
        <v>21</v>
      </c>
      <c r="L99" t="s">
        <v>31</v>
      </c>
      <c r="M99" t="s">
        <v>39</v>
      </c>
      <c r="N99">
        <v>83488</v>
      </c>
      <c r="O99">
        <v>23380.15</v>
      </c>
      <c r="P99" t="s">
        <v>24</v>
      </c>
      <c r="Q99" t="s">
        <v>75</v>
      </c>
    </row>
    <row r="100" spans="1:17" x14ac:dyDescent="0.25">
      <c r="A100">
        <v>199</v>
      </c>
      <c r="B100" t="s">
        <v>34</v>
      </c>
      <c r="C100" t="s">
        <v>17</v>
      </c>
      <c r="D100" t="s">
        <v>69</v>
      </c>
      <c r="E100" t="s">
        <v>98</v>
      </c>
      <c r="F100">
        <v>10</v>
      </c>
      <c r="G100">
        <v>36097</v>
      </c>
      <c r="H100" t="s">
        <v>174</v>
      </c>
      <c r="J100">
        <v>20</v>
      </c>
      <c r="K100" t="s">
        <v>38</v>
      </c>
      <c r="L100" t="s">
        <v>22</v>
      </c>
      <c r="M100" t="s">
        <v>64</v>
      </c>
      <c r="N100">
        <v>288776</v>
      </c>
      <c r="O100">
        <v>53216.95</v>
      </c>
      <c r="P100" t="s">
        <v>33</v>
      </c>
      <c r="Q100" t="s">
        <v>25</v>
      </c>
    </row>
    <row r="101" spans="1:17" x14ac:dyDescent="0.25">
      <c r="A101">
        <v>200</v>
      </c>
      <c r="B101" t="s">
        <v>51</v>
      </c>
      <c r="C101" t="s">
        <v>27</v>
      </c>
      <c r="D101" t="s">
        <v>18</v>
      </c>
      <c r="E101" t="s">
        <v>72</v>
      </c>
      <c r="F101">
        <v>2</v>
      </c>
      <c r="G101">
        <v>38863</v>
      </c>
      <c r="H101" t="s">
        <v>175</v>
      </c>
      <c r="J101">
        <v>20</v>
      </c>
      <c r="K101" t="s">
        <v>58</v>
      </c>
      <c r="L101" t="s">
        <v>55</v>
      </c>
      <c r="M101" t="s">
        <v>64</v>
      </c>
      <c r="N101">
        <v>62180.800000000003</v>
      </c>
      <c r="O101">
        <v>10719.04</v>
      </c>
      <c r="P101" t="s">
        <v>33</v>
      </c>
      <c r="Q101" t="s">
        <v>56</v>
      </c>
    </row>
    <row r="102" spans="1:17" x14ac:dyDescent="0.25">
      <c r="A102">
        <v>201</v>
      </c>
      <c r="B102" t="s">
        <v>91</v>
      </c>
      <c r="C102" t="s">
        <v>68</v>
      </c>
      <c r="D102" t="s">
        <v>18</v>
      </c>
      <c r="E102" t="s">
        <v>36</v>
      </c>
      <c r="F102">
        <v>6</v>
      </c>
      <c r="G102">
        <v>69969</v>
      </c>
      <c r="H102" t="s">
        <v>176</v>
      </c>
      <c r="J102">
        <v>10</v>
      </c>
      <c r="K102" t="s">
        <v>45</v>
      </c>
      <c r="L102" t="s">
        <v>31</v>
      </c>
      <c r="M102" t="s">
        <v>50</v>
      </c>
      <c r="N102">
        <v>377832.6</v>
      </c>
      <c r="O102">
        <v>95633.76</v>
      </c>
      <c r="P102" t="s">
        <v>65</v>
      </c>
      <c r="Q102" t="s">
        <v>25</v>
      </c>
    </row>
    <row r="103" spans="1:17" x14ac:dyDescent="0.25">
      <c r="A103">
        <v>202</v>
      </c>
      <c r="B103" t="s">
        <v>115</v>
      </c>
      <c r="C103" t="s">
        <v>27</v>
      </c>
      <c r="D103" t="s">
        <v>18</v>
      </c>
      <c r="E103" t="s">
        <v>36</v>
      </c>
      <c r="F103">
        <v>6</v>
      </c>
      <c r="G103">
        <v>8551</v>
      </c>
      <c r="H103" t="s">
        <v>177</v>
      </c>
      <c r="J103">
        <v>0</v>
      </c>
      <c r="K103" t="s">
        <v>45</v>
      </c>
      <c r="L103" t="s">
        <v>31</v>
      </c>
      <c r="M103" t="s">
        <v>50</v>
      </c>
      <c r="N103">
        <v>51306</v>
      </c>
      <c r="O103">
        <v>14663.54</v>
      </c>
      <c r="P103" t="s">
        <v>40</v>
      </c>
      <c r="Q103" t="s">
        <v>25</v>
      </c>
    </row>
    <row r="104" spans="1:17" x14ac:dyDescent="0.25">
      <c r="A104">
        <v>203</v>
      </c>
      <c r="B104" t="s">
        <v>67</v>
      </c>
      <c r="C104" t="s">
        <v>27</v>
      </c>
      <c r="D104" t="s">
        <v>18</v>
      </c>
      <c r="E104" t="s">
        <v>62</v>
      </c>
      <c r="F104">
        <v>1</v>
      </c>
      <c r="G104">
        <v>53443</v>
      </c>
      <c r="H104" t="s">
        <v>178</v>
      </c>
      <c r="J104">
        <v>10</v>
      </c>
      <c r="K104" t="s">
        <v>74</v>
      </c>
      <c r="L104" t="s">
        <v>55</v>
      </c>
      <c r="M104" t="s">
        <v>39</v>
      </c>
      <c r="N104">
        <v>48098.7</v>
      </c>
      <c r="O104">
        <v>6135.91</v>
      </c>
      <c r="P104" t="s">
        <v>65</v>
      </c>
      <c r="Q104" t="s">
        <v>75</v>
      </c>
    </row>
    <row r="105" spans="1:17" x14ac:dyDescent="0.25">
      <c r="A105">
        <v>204</v>
      </c>
      <c r="B105" t="s">
        <v>16</v>
      </c>
      <c r="C105" t="s">
        <v>35</v>
      </c>
      <c r="D105" t="s">
        <v>76</v>
      </c>
      <c r="E105" t="s">
        <v>101</v>
      </c>
      <c r="F105">
        <v>6</v>
      </c>
      <c r="G105">
        <v>71557</v>
      </c>
      <c r="H105" t="s">
        <v>179</v>
      </c>
      <c r="J105">
        <v>20</v>
      </c>
      <c r="K105" t="s">
        <v>45</v>
      </c>
      <c r="L105" t="s">
        <v>55</v>
      </c>
      <c r="M105" t="s">
        <v>81</v>
      </c>
      <c r="N105">
        <v>343473.6</v>
      </c>
      <c r="O105">
        <v>62231.88</v>
      </c>
      <c r="P105" t="s">
        <v>24</v>
      </c>
      <c r="Q105" t="s">
        <v>56</v>
      </c>
    </row>
    <row r="106" spans="1:17" x14ac:dyDescent="0.25">
      <c r="A106">
        <v>205</v>
      </c>
      <c r="B106" t="s">
        <v>91</v>
      </c>
      <c r="C106" t="s">
        <v>17</v>
      </c>
      <c r="D106" t="s">
        <v>28</v>
      </c>
      <c r="E106" t="s">
        <v>103</v>
      </c>
      <c r="F106">
        <v>3</v>
      </c>
      <c r="G106">
        <v>9212</v>
      </c>
      <c r="H106" t="s">
        <v>180</v>
      </c>
      <c r="J106">
        <v>20</v>
      </c>
      <c r="K106" t="s">
        <v>54</v>
      </c>
      <c r="L106" t="s">
        <v>55</v>
      </c>
      <c r="M106" t="s">
        <v>23</v>
      </c>
      <c r="N106">
        <v>22108.799999999999</v>
      </c>
      <c r="O106">
        <v>5304.39</v>
      </c>
      <c r="P106" t="s">
        <v>65</v>
      </c>
      <c r="Q106" t="s">
        <v>56</v>
      </c>
    </row>
    <row r="107" spans="1:17" x14ac:dyDescent="0.25">
      <c r="A107">
        <v>206</v>
      </c>
      <c r="B107" t="s">
        <v>51</v>
      </c>
      <c r="C107" t="s">
        <v>17</v>
      </c>
      <c r="D107" t="s">
        <v>42</v>
      </c>
      <c r="E107" t="s">
        <v>43</v>
      </c>
      <c r="F107">
        <v>6</v>
      </c>
      <c r="G107">
        <v>53653</v>
      </c>
      <c r="H107" t="s">
        <v>181</v>
      </c>
      <c r="J107">
        <v>0</v>
      </c>
      <c r="K107" t="s">
        <v>21</v>
      </c>
      <c r="L107" t="s">
        <v>22</v>
      </c>
      <c r="M107" t="s">
        <v>23</v>
      </c>
      <c r="N107">
        <v>321918</v>
      </c>
      <c r="O107">
        <v>44359.26</v>
      </c>
      <c r="P107" t="s">
        <v>24</v>
      </c>
      <c r="Q107" t="s">
        <v>56</v>
      </c>
    </row>
    <row r="108" spans="1:17" x14ac:dyDescent="0.25">
      <c r="A108">
        <v>207</v>
      </c>
      <c r="B108" t="s">
        <v>51</v>
      </c>
      <c r="C108" t="s">
        <v>35</v>
      </c>
      <c r="D108" t="s">
        <v>18</v>
      </c>
      <c r="E108" t="s">
        <v>19</v>
      </c>
      <c r="F108">
        <v>6</v>
      </c>
      <c r="G108">
        <v>43695</v>
      </c>
      <c r="H108" t="s">
        <v>182</v>
      </c>
      <c r="J108">
        <v>20</v>
      </c>
      <c r="K108" t="s">
        <v>58</v>
      </c>
      <c r="L108" t="s">
        <v>46</v>
      </c>
      <c r="M108" t="s">
        <v>47</v>
      </c>
      <c r="N108">
        <v>209736</v>
      </c>
      <c r="O108">
        <v>28783.19</v>
      </c>
      <c r="P108" t="s">
        <v>33</v>
      </c>
      <c r="Q108" t="s">
        <v>56</v>
      </c>
    </row>
    <row r="109" spans="1:17" x14ac:dyDescent="0.25">
      <c r="A109">
        <v>208</v>
      </c>
      <c r="B109" t="s">
        <v>107</v>
      </c>
      <c r="C109" t="s">
        <v>27</v>
      </c>
      <c r="D109" t="s">
        <v>42</v>
      </c>
      <c r="E109" t="s">
        <v>43</v>
      </c>
      <c r="F109">
        <v>2</v>
      </c>
      <c r="G109">
        <v>62431</v>
      </c>
      <c r="H109" t="s">
        <v>183</v>
      </c>
      <c r="J109">
        <v>20</v>
      </c>
      <c r="K109" t="s">
        <v>45</v>
      </c>
      <c r="L109" t="s">
        <v>22</v>
      </c>
      <c r="M109" t="s">
        <v>32</v>
      </c>
      <c r="N109">
        <v>99889.600000000006</v>
      </c>
      <c r="O109">
        <v>27072.77</v>
      </c>
      <c r="P109" t="s">
        <v>24</v>
      </c>
      <c r="Q109" t="s">
        <v>25</v>
      </c>
    </row>
    <row r="110" spans="1:17" x14ac:dyDescent="0.25">
      <c r="A110">
        <v>209</v>
      </c>
      <c r="B110" t="s">
        <v>51</v>
      </c>
      <c r="C110" t="s">
        <v>17</v>
      </c>
      <c r="D110" t="s">
        <v>18</v>
      </c>
      <c r="E110" t="s">
        <v>72</v>
      </c>
      <c r="F110">
        <v>6</v>
      </c>
      <c r="G110">
        <v>35416</v>
      </c>
      <c r="H110" t="s">
        <v>184</v>
      </c>
      <c r="J110">
        <v>5</v>
      </c>
      <c r="K110" t="s">
        <v>21</v>
      </c>
      <c r="L110" t="s">
        <v>22</v>
      </c>
      <c r="M110" t="s">
        <v>39</v>
      </c>
      <c r="N110">
        <v>201871.2</v>
      </c>
      <c r="O110">
        <v>48474.05</v>
      </c>
      <c r="P110" t="s">
        <v>33</v>
      </c>
      <c r="Q110" t="s">
        <v>25</v>
      </c>
    </row>
    <row r="111" spans="1:17" x14ac:dyDescent="0.25">
      <c r="A111">
        <v>210</v>
      </c>
      <c r="B111" t="s">
        <v>41</v>
      </c>
      <c r="C111" t="s">
        <v>17</v>
      </c>
      <c r="D111" t="s">
        <v>18</v>
      </c>
      <c r="E111" t="s">
        <v>62</v>
      </c>
      <c r="F111">
        <v>8</v>
      </c>
      <c r="G111">
        <v>74647</v>
      </c>
      <c r="H111" t="s">
        <v>150</v>
      </c>
      <c r="J111">
        <v>5</v>
      </c>
      <c r="K111" t="s">
        <v>38</v>
      </c>
      <c r="L111" t="s">
        <v>46</v>
      </c>
      <c r="M111" t="s">
        <v>39</v>
      </c>
      <c r="N111">
        <v>567317.19999999995</v>
      </c>
      <c r="O111">
        <v>61811.09</v>
      </c>
      <c r="P111" t="s">
        <v>40</v>
      </c>
      <c r="Q111" t="s">
        <v>25</v>
      </c>
    </row>
    <row r="112" spans="1:17" x14ac:dyDescent="0.25">
      <c r="A112">
        <v>211</v>
      </c>
      <c r="B112" t="s">
        <v>26</v>
      </c>
      <c r="C112" t="s">
        <v>35</v>
      </c>
      <c r="D112" t="s">
        <v>69</v>
      </c>
      <c r="E112" t="s">
        <v>98</v>
      </c>
      <c r="F112">
        <v>4</v>
      </c>
      <c r="G112">
        <v>4204</v>
      </c>
      <c r="H112" t="s">
        <v>185</v>
      </c>
      <c r="J112">
        <v>5</v>
      </c>
      <c r="K112" t="s">
        <v>58</v>
      </c>
      <c r="L112" t="s">
        <v>55</v>
      </c>
      <c r="M112" t="s">
        <v>50</v>
      </c>
      <c r="N112">
        <v>15975.2</v>
      </c>
      <c r="O112">
        <v>2847.81</v>
      </c>
      <c r="P112" t="s">
        <v>33</v>
      </c>
      <c r="Q112" t="s">
        <v>75</v>
      </c>
    </row>
    <row r="113" spans="1:17" x14ac:dyDescent="0.25">
      <c r="A113">
        <v>212</v>
      </c>
      <c r="B113" t="s">
        <v>94</v>
      </c>
      <c r="C113" t="s">
        <v>68</v>
      </c>
      <c r="D113" t="s">
        <v>69</v>
      </c>
      <c r="E113" t="s">
        <v>121</v>
      </c>
      <c r="F113">
        <v>5</v>
      </c>
      <c r="G113">
        <v>5070</v>
      </c>
      <c r="H113" t="s">
        <v>186</v>
      </c>
      <c r="J113">
        <v>10</v>
      </c>
      <c r="K113" t="s">
        <v>45</v>
      </c>
      <c r="L113" t="s">
        <v>55</v>
      </c>
      <c r="M113" t="s">
        <v>23</v>
      </c>
      <c r="N113">
        <v>22815</v>
      </c>
      <c r="O113">
        <v>5839.34</v>
      </c>
      <c r="P113" t="s">
        <v>33</v>
      </c>
      <c r="Q113" t="s">
        <v>25</v>
      </c>
    </row>
    <row r="114" spans="1:17" x14ac:dyDescent="0.25">
      <c r="A114">
        <v>213</v>
      </c>
      <c r="B114" t="s">
        <v>109</v>
      </c>
      <c r="C114" t="s">
        <v>35</v>
      </c>
      <c r="D114" t="s">
        <v>28</v>
      </c>
      <c r="E114" t="s">
        <v>48</v>
      </c>
      <c r="F114">
        <v>7</v>
      </c>
      <c r="G114">
        <v>56625</v>
      </c>
      <c r="H114" t="s">
        <v>187</v>
      </c>
      <c r="J114">
        <v>15</v>
      </c>
      <c r="K114" t="s">
        <v>45</v>
      </c>
      <c r="L114" t="s">
        <v>46</v>
      </c>
      <c r="M114" t="s">
        <v>81</v>
      </c>
      <c r="N114">
        <v>336918.75</v>
      </c>
      <c r="O114">
        <v>81905</v>
      </c>
      <c r="P114" t="s">
        <v>33</v>
      </c>
      <c r="Q114" t="s">
        <v>25</v>
      </c>
    </row>
    <row r="115" spans="1:17" x14ac:dyDescent="0.25">
      <c r="A115">
        <v>214</v>
      </c>
      <c r="B115" t="s">
        <v>115</v>
      </c>
      <c r="C115" t="s">
        <v>35</v>
      </c>
      <c r="D115" t="s">
        <v>69</v>
      </c>
      <c r="E115" t="s">
        <v>121</v>
      </c>
      <c r="F115">
        <v>1</v>
      </c>
      <c r="G115">
        <v>56500</v>
      </c>
      <c r="H115" t="s">
        <v>188</v>
      </c>
      <c r="J115">
        <v>10</v>
      </c>
      <c r="K115" t="s">
        <v>54</v>
      </c>
      <c r="L115" t="s">
        <v>31</v>
      </c>
      <c r="M115" t="s">
        <v>47</v>
      </c>
      <c r="N115">
        <v>50850</v>
      </c>
      <c r="O115">
        <v>8605.74</v>
      </c>
      <c r="P115" t="s">
        <v>24</v>
      </c>
      <c r="Q115" t="s">
        <v>25</v>
      </c>
    </row>
    <row r="116" spans="1:17" x14ac:dyDescent="0.25">
      <c r="A116">
        <v>215</v>
      </c>
      <c r="B116" t="s">
        <v>34</v>
      </c>
      <c r="C116" t="s">
        <v>17</v>
      </c>
      <c r="D116" t="s">
        <v>28</v>
      </c>
      <c r="E116" t="s">
        <v>103</v>
      </c>
      <c r="F116">
        <v>5</v>
      </c>
      <c r="G116">
        <v>42629</v>
      </c>
      <c r="H116" t="s">
        <v>189</v>
      </c>
      <c r="J116">
        <v>10</v>
      </c>
      <c r="K116" t="s">
        <v>45</v>
      </c>
      <c r="L116" t="s">
        <v>22</v>
      </c>
      <c r="M116" t="s">
        <v>47</v>
      </c>
      <c r="N116">
        <v>191830.5</v>
      </c>
      <c r="O116">
        <v>30520.91</v>
      </c>
      <c r="P116" t="s">
        <v>40</v>
      </c>
      <c r="Q116" t="s">
        <v>56</v>
      </c>
    </row>
    <row r="117" spans="1:17" x14ac:dyDescent="0.25">
      <c r="A117">
        <v>216</v>
      </c>
      <c r="B117" t="s">
        <v>107</v>
      </c>
      <c r="C117" t="s">
        <v>17</v>
      </c>
      <c r="D117" t="s">
        <v>18</v>
      </c>
      <c r="E117" t="s">
        <v>19</v>
      </c>
      <c r="F117">
        <v>5</v>
      </c>
      <c r="G117">
        <v>26799</v>
      </c>
      <c r="H117" t="s">
        <v>190</v>
      </c>
      <c r="J117">
        <v>0</v>
      </c>
      <c r="K117" t="s">
        <v>38</v>
      </c>
      <c r="L117" t="s">
        <v>55</v>
      </c>
      <c r="M117" t="s">
        <v>64</v>
      </c>
      <c r="N117">
        <v>133995</v>
      </c>
      <c r="O117">
        <v>22959.919999999998</v>
      </c>
      <c r="P117" t="s">
        <v>40</v>
      </c>
      <c r="Q117" t="s">
        <v>75</v>
      </c>
    </row>
    <row r="118" spans="1:17" x14ac:dyDescent="0.25">
      <c r="A118">
        <v>217</v>
      </c>
      <c r="B118" t="s">
        <v>67</v>
      </c>
      <c r="C118" t="s">
        <v>68</v>
      </c>
      <c r="D118" t="s">
        <v>69</v>
      </c>
      <c r="E118" t="s">
        <v>98</v>
      </c>
      <c r="F118">
        <v>8</v>
      </c>
      <c r="G118">
        <v>71060</v>
      </c>
      <c r="H118" t="s">
        <v>191</v>
      </c>
      <c r="J118">
        <v>20</v>
      </c>
      <c r="K118" t="s">
        <v>45</v>
      </c>
      <c r="L118" t="s">
        <v>31</v>
      </c>
      <c r="M118" t="s">
        <v>81</v>
      </c>
      <c r="N118">
        <v>454784</v>
      </c>
      <c r="O118">
        <v>114712.58</v>
      </c>
      <c r="P118" t="s">
        <v>40</v>
      </c>
      <c r="Q118" t="s">
        <v>25</v>
      </c>
    </row>
    <row r="119" spans="1:17" x14ac:dyDescent="0.25">
      <c r="A119">
        <v>218</v>
      </c>
      <c r="B119" t="s">
        <v>61</v>
      </c>
      <c r="C119" t="s">
        <v>27</v>
      </c>
      <c r="D119" t="s">
        <v>42</v>
      </c>
      <c r="E119" t="s">
        <v>59</v>
      </c>
      <c r="F119">
        <v>6</v>
      </c>
      <c r="G119">
        <v>43862</v>
      </c>
      <c r="H119" t="s">
        <v>82</v>
      </c>
      <c r="J119">
        <v>20</v>
      </c>
      <c r="K119" t="s">
        <v>54</v>
      </c>
      <c r="L119" t="s">
        <v>46</v>
      </c>
      <c r="M119" t="s">
        <v>23</v>
      </c>
      <c r="N119">
        <v>210537.60000000001</v>
      </c>
      <c r="O119">
        <v>62824.6</v>
      </c>
      <c r="P119" t="s">
        <v>33</v>
      </c>
      <c r="Q119" t="s">
        <v>56</v>
      </c>
    </row>
    <row r="120" spans="1:17" x14ac:dyDescent="0.25">
      <c r="A120">
        <v>219</v>
      </c>
      <c r="B120" t="s">
        <v>109</v>
      </c>
      <c r="C120" t="s">
        <v>17</v>
      </c>
      <c r="D120" t="s">
        <v>18</v>
      </c>
      <c r="E120" t="s">
        <v>72</v>
      </c>
      <c r="F120">
        <v>6</v>
      </c>
      <c r="G120">
        <v>22711</v>
      </c>
      <c r="H120" t="s">
        <v>192</v>
      </c>
      <c r="J120">
        <v>0</v>
      </c>
      <c r="K120" t="s">
        <v>58</v>
      </c>
      <c r="L120" t="s">
        <v>31</v>
      </c>
      <c r="M120" t="s">
        <v>64</v>
      </c>
      <c r="N120">
        <v>136266</v>
      </c>
      <c r="O120">
        <v>34729.1</v>
      </c>
      <c r="P120" t="s">
        <v>24</v>
      </c>
      <c r="Q120" t="s">
        <v>25</v>
      </c>
    </row>
    <row r="121" spans="1:17" x14ac:dyDescent="0.25">
      <c r="A121">
        <v>220</v>
      </c>
      <c r="B121" t="s">
        <v>79</v>
      </c>
      <c r="C121" t="s">
        <v>68</v>
      </c>
      <c r="D121" t="s">
        <v>42</v>
      </c>
      <c r="E121" t="s">
        <v>59</v>
      </c>
      <c r="F121">
        <v>2</v>
      </c>
      <c r="G121">
        <v>36737</v>
      </c>
      <c r="H121" t="s">
        <v>173</v>
      </c>
      <c r="J121">
        <v>20</v>
      </c>
      <c r="K121" t="s">
        <v>74</v>
      </c>
      <c r="L121" t="s">
        <v>55</v>
      </c>
      <c r="M121" t="s">
        <v>100</v>
      </c>
      <c r="N121">
        <v>58779.199999999997</v>
      </c>
      <c r="O121">
        <v>13388.72</v>
      </c>
      <c r="P121" t="s">
        <v>65</v>
      </c>
      <c r="Q121" t="s">
        <v>56</v>
      </c>
    </row>
    <row r="122" spans="1:17" x14ac:dyDescent="0.25">
      <c r="A122">
        <v>221</v>
      </c>
      <c r="B122" t="s">
        <v>79</v>
      </c>
      <c r="C122" t="s">
        <v>17</v>
      </c>
      <c r="D122" t="s">
        <v>42</v>
      </c>
      <c r="E122" t="s">
        <v>59</v>
      </c>
      <c r="F122">
        <v>10</v>
      </c>
      <c r="G122">
        <v>62459</v>
      </c>
      <c r="H122" t="s">
        <v>193</v>
      </c>
      <c r="J122">
        <v>10</v>
      </c>
      <c r="K122" t="s">
        <v>74</v>
      </c>
      <c r="L122" t="s">
        <v>31</v>
      </c>
      <c r="M122" t="s">
        <v>100</v>
      </c>
      <c r="N122">
        <v>562131</v>
      </c>
      <c r="O122">
        <v>78649.34</v>
      </c>
      <c r="P122" t="s">
        <v>40</v>
      </c>
      <c r="Q122" t="s">
        <v>75</v>
      </c>
    </row>
    <row r="123" spans="1:17" x14ac:dyDescent="0.25">
      <c r="A123">
        <v>222</v>
      </c>
      <c r="B123" t="s">
        <v>41</v>
      </c>
      <c r="C123" t="s">
        <v>35</v>
      </c>
      <c r="D123" t="s">
        <v>28</v>
      </c>
      <c r="E123" t="s">
        <v>103</v>
      </c>
      <c r="F123">
        <v>8</v>
      </c>
      <c r="G123">
        <v>39649</v>
      </c>
      <c r="H123" t="s">
        <v>194</v>
      </c>
      <c r="J123">
        <v>20</v>
      </c>
      <c r="K123" t="s">
        <v>38</v>
      </c>
      <c r="L123" t="s">
        <v>46</v>
      </c>
      <c r="M123" t="s">
        <v>47</v>
      </c>
      <c r="N123">
        <v>253753.60000000001</v>
      </c>
      <c r="O123">
        <v>56270.13</v>
      </c>
      <c r="P123" t="s">
        <v>40</v>
      </c>
      <c r="Q123" t="s">
        <v>56</v>
      </c>
    </row>
    <row r="124" spans="1:17" x14ac:dyDescent="0.25">
      <c r="A124">
        <v>223</v>
      </c>
      <c r="B124" t="s">
        <v>91</v>
      </c>
      <c r="C124" t="s">
        <v>68</v>
      </c>
      <c r="D124" t="s">
        <v>69</v>
      </c>
      <c r="E124" t="s">
        <v>121</v>
      </c>
      <c r="F124">
        <v>1</v>
      </c>
      <c r="G124">
        <v>62119</v>
      </c>
      <c r="H124" t="s">
        <v>195</v>
      </c>
      <c r="J124">
        <v>5</v>
      </c>
      <c r="K124" t="s">
        <v>58</v>
      </c>
      <c r="L124" t="s">
        <v>55</v>
      </c>
      <c r="M124" t="s">
        <v>50</v>
      </c>
      <c r="N124">
        <v>59013.05</v>
      </c>
      <c r="O124">
        <v>17465.439999999999</v>
      </c>
      <c r="P124" t="s">
        <v>33</v>
      </c>
      <c r="Q124" t="s">
        <v>25</v>
      </c>
    </row>
    <row r="125" spans="1:17" x14ac:dyDescent="0.25">
      <c r="A125">
        <v>224</v>
      </c>
      <c r="B125" t="s">
        <v>67</v>
      </c>
      <c r="C125" t="s">
        <v>17</v>
      </c>
      <c r="D125" t="s">
        <v>18</v>
      </c>
      <c r="E125" t="s">
        <v>72</v>
      </c>
      <c r="F125">
        <v>4</v>
      </c>
      <c r="G125">
        <v>14465</v>
      </c>
      <c r="H125" t="s">
        <v>196</v>
      </c>
      <c r="J125">
        <v>5</v>
      </c>
      <c r="K125" t="s">
        <v>38</v>
      </c>
      <c r="L125" t="s">
        <v>46</v>
      </c>
      <c r="M125" t="s">
        <v>47</v>
      </c>
      <c r="N125">
        <v>54967</v>
      </c>
      <c r="O125">
        <v>11041.32</v>
      </c>
      <c r="P125" t="s">
        <v>33</v>
      </c>
      <c r="Q125" t="s">
        <v>56</v>
      </c>
    </row>
    <row r="126" spans="1:17" x14ac:dyDescent="0.25">
      <c r="A126">
        <v>225</v>
      </c>
      <c r="B126" t="s">
        <v>84</v>
      </c>
      <c r="C126" t="s">
        <v>35</v>
      </c>
      <c r="D126" t="s">
        <v>42</v>
      </c>
      <c r="E126" t="s">
        <v>52</v>
      </c>
      <c r="F126">
        <v>2</v>
      </c>
      <c r="G126">
        <v>79491</v>
      </c>
      <c r="H126" t="s">
        <v>197</v>
      </c>
      <c r="J126">
        <v>10</v>
      </c>
      <c r="K126" t="s">
        <v>38</v>
      </c>
      <c r="L126" t="s">
        <v>55</v>
      </c>
      <c r="M126" t="s">
        <v>39</v>
      </c>
      <c r="N126">
        <v>143083.79999999999</v>
      </c>
      <c r="O126">
        <v>29899.05</v>
      </c>
      <c r="P126" t="s">
        <v>33</v>
      </c>
      <c r="Q126" t="s">
        <v>56</v>
      </c>
    </row>
    <row r="127" spans="1:17" x14ac:dyDescent="0.25">
      <c r="A127">
        <v>226</v>
      </c>
      <c r="B127" t="s">
        <v>67</v>
      </c>
      <c r="C127" t="s">
        <v>27</v>
      </c>
      <c r="D127" t="s">
        <v>76</v>
      </c>
      <c r="E127" t="s">
        <v>77</v>
      </c>
      <c r="F127">
        <v>4</v>
      </c>
      <c r="G127">
        <v>41404</v>
      </c>
      <c r="H127" t="s">
        <v>198</v>
      </c>
      <c r="J127">
        <v>0</v>
      </c>
      <c r="K127" t="s">
        <v>38</v>
      </c>
      <c r="L127" t="s">
        <v>55</v>
      </c>
      <c r="M127" t="s">
        <v>100</v>
      </c>
      <c r="N127">
        <v>165616</v>
      </c>
      <c r="O127">
        <v>44826.36</v>
      </c>
      <c r="P127" t="s">
        <v>40</v>
      </c>
      <c r="Q127" t="s">
        <v>75</v>
      </c>
    </row>
    <row r="128" spans="1:17" x14ac:dyDescent="0.25">
      <c r="A128">
        <v>227</v>
      </c>
      <c r="B128" t="s">
        <v>41</v>
      </c>
      <c r="C128" t="s">
        <v>17</v>
      </c>
      <c r="D128" t="s">
        <v>28</v>
      </c>
      <c r="E128" t="s">
        <v>48</v>
      </c>
      <c r="F128">
        <v>4</v>
      </c>
      <c r="G128">
        <v>19048</v>
      </c>
      <c r="H128" t="s">
        <v>199</v>
      </c>
      <c r="J128">
        <v>0</v>
      </c>
      <c r="K128" t="s">
        <v>38</v>
      </c>
      <c r="L128" t="s">
        <v>22</v>
      </c>
      <c r="M128" t="s">
        <v>32</v>
      </c>
      <c r="N128">
        <v>76192</v>
      </c>
      <c r="O128">
        <v>15874.64</v>
      </c>
      <c r="P128" t="s">
        <v>40</v>
      </c>
      <c r="Q128" t="s">
        <v>75</v>
      </c>
    </row>
    <row r="129" spans="1:17" x14ac:dyDescent="0.25">
      <c r="A129">
        <v>228</v>
      </c>
      <c r="B129" t="s">
        <v>107</v>
      </c>
      <c r="C129" t="s">
        <v>27</v>
      </c>
      <c r="D129" t="s">
        <v>18</v>
      </c>
      <c r="E129" t="s">
        <v>19</v>
      </c>
      <c r="F129">
        <v>3</v>
      </c>
      <c r="G129">
        <v>47417</v>
      </c>
      <c r="H129" t="s">
        <v>200</v>
      </c>
      <c r="J129">
        <v>5</v>
      </c>
      <c r="K129" t="s">
        <v>58</v>
      </c>
      <c r="L129" t="s">
        <v>22</v>
      </c>
      <c r="M129" t="s">
        <v>100</v>
      </c>
      <c r="N129">
        <v>135138.45000000001</v>
      </c>
      <c r="O129">
        <v>14084.71</v>
      </c>
      <c r="P129" t="s">
        <v>65</v>
      </c>
      <c r="Q129" t="s">
        <v>25</v>
      </c>
    </row>
    <row r="130" spans="1:17" x14ac:dyDescent="0.25">
      <c r="A130">
        <v>229</v>
      </c>
      <c r="B130" t="s">
        <v>96</v>
      </c>
      <c r="C130" t="s">
        <v>27</v>
      </c>
      <c r="D130" t="s">
        <v>18</v>
      </c>
      <c r="E130" t="s">
        <v>62</v>
      </c>
      <c r="F130">
        <v>4</v>
      </c>
      <c r="G130">
        <v>54467</v>
      </c>
      <c r="H130" t="s">
        <v>201</v>
      </c>
      <c r="J130">
        <v>5</v>
      </c>
      <c r="K130" t="s">
        <v>54</v>
      </c>
      <c r="L130" t="s">
        <v>22</v>
      </c>
      <c r="M130" t="s">
        <v>100</v>
      </c>
      <c r="N130">
        <v>206974.6</v>
      </c>
      <c r="O130">
        <v>37825.07</v>
      </c>
      <c r="P130" t="s">
        <v>65</v>
      </c>
      <c r="Q130" t="s">
        <v>56</v>
      </c>
    </row>
    <row r="131" spans="1:17" x14ac:dyDescent="0.25">
      <c r="A131">
        <v>230</v>
      </c>
      <c r="B131" t="s">
        <v>91</v>
      </c>
      <c r="C131" t="s">
        <v>17</v>
      </c>
      <c r="D131" t="s">
        <v>18</v>
      </c>
      <c r="E131" t="s">
        <v>19</v>
      </c>
      <c r="F131">
        <v>5</v>
      </c>
      <c r="G131">
        <v>40127</v>
      </c>
      <c r="H131" t="s">
        <v>202</v>
      </c>
      <c r="J131">
        <v>15</v>
      </c>
      <c r="K131" t="s">
        <v>45</v>
      </c>
      <c r="L131" t="s">
        <v>46</v>
      </c>
      <c r="M131" t="s">
        <v>50</v>
      </c>
      <c r="N131">
        <v>170539.75</v>
      </c>
      <c r="O131">
        <v>42619.53</v>
      </c>
      <c r="P131" t="s">
        <v>40</v>
      </c>
      <c r="Q131" t="s">
        <v>25</v>
      </c>
    </row>
    <row r="132" spans="1:17" x14ac:dyDescent="0.25">
      <c r="A132">
        <v>231</v>
      </c>
      <c r="B132" t="s">
        <v>84</v>
      </c>
      <c r="C132" t="s">
        <v>35</v>
      </c>
      <c r="D132" t="s">
        <v>42</v>
      </c>
      <c r="E132" t="s">
        <v>52</v>
      </c>
      <c r="F132">
        <v>6</v>
      </c>
      <c r="G132">
        <v>70549</v>
      </c>
      <c r="H132" t="s">
        <v>203</v>
      </c>
      <c r="J132">
        <v>0</v>
      </c>
      <c r="K132" t="s">
        <v>54</v>
      </c>
      <c r="L132" t="s">
        <v>31</v>
      </c>
      <c r="M132" t="s">
        <v>47</v>
      </c>
      <c r="N132">
        <v>423294</v>
      </c>
      <c r="O132">
        <v>106141.87</v>
      </c>
      <c r="P132" t="s">
        <v>65</v>
      </c>
      <c r="Q132" t="s">
        <v>25</v>
      </c>
    </row>
    <row r="133" spans="1:17" x14ac:dyDescent="0.25">
      <c r="A133">
        <v>232</v>
      </c>
      <c r="B133" t="s">
        <v>91</v>
      </c>
      <c r="C133" t="s">
        <v>68</v>
      </c>
      <c r="D133" t="s">
        <v>28</v>
      </c>
      <c r="E133" t="s">
        <v>48</v>
      </c>
      <c r="F133">
        <v>6</v>
      </c>
      <c r="G133">
        <v>69688</v>
      </c>
      <c r="H133" t="s">
        <v>204</v>
      </c>
      <c r="J133">
        <v>10</v>
      </c>
      <c r="K133" t="s">
        <v>45</v>
      </c>
      <c r="L133" t="s">
        <v>31</v>
      </c>
      <c r="M133" t="s">
        <v>81</v>
      </c>
      <c r="N133">
        <v>376315.2</v>
      </c>
      <c r="O133">
        <v>44855.39</v>
      </c>
      <c r="P133" t="s">
        <v>24</v>
      </c>
      <c r="Q133" t="s">
        <v>56</v>
      </c>
    </row>
    <row r="134" spans="1:17" x14ac:dyDescent="0.25">
      <c r="A134">
        <v>233</v>
      </c>
      <c r="B134" t="s">
        <v>94</v>
      </c>
      <c r="C134" t="s">
        <v>27</v>
      </c>
      <c r="D134" t="s">
        <v>76</v>
      </c>
      <c r="E134" t="s">
        <v>77</v>
      </c>
      <c r="F134">
        <v>4</v>
      </c>
      <c r="G134">
        <v>10757</v>
      </c>
      <c r="H134" t="s">
        <v>205</v>
      </c>
      <c r="J134">
        <v>10</v>
      </c>
      <c r="K134" t="s">
        <v>54</v>
      </c>
      <c r="L134" t="s">
        <v>31</v>
      </c>
      <c r="M134" t="s">
        <v>81</v>
      </c>
      <c r="N134">
        <v>38725.199999999997</v>
      </c>
      <c r="O134">
        <v>6457.05</v>
      </c>
      <c r="P134" t="s">
        <v>40</v>
      </c>
      <c r="Q134" t="s">
        <v>75</v>
      </c>
    </row>
    <row r="135" spans="1:17" x14ac:dyDescent="0.25">
      <c r="A135">
        <v>234</v>
      </c>
      <c r="B135" t="s">
        <v>107</v>
      </c>
      <c r="C135" t="s">
        <v>17</v>
      </c>
      <c r="D135" t="s">
        <v>69</v>
      </c>
      <c r="E135" t="s">
        <v>121</v>
      </c>
      <c r="F135">
        <v>9</v>
      </c>
      <c r="G135">
        <v>38471</v>
      </c>
      <c r="H135" t="s">
        <v>161</v>
      </c>
      <c r="J135">
        <v>15</v>
      </c>
      <c r="K135" t="s">
        <v>58</v>
      </c>
      <c r="L135" t="s">
        <v>22</v>
      </c>
      <c r="M135" t="s">
        <v>23</v>
      </c>
      <c r="N135">
        <v>294303.15000000002</v>
      </c>
      <c r="O135">
        <v>45554.29</v>
      </c>
      <c r="P135" t="s">
        <v>65</v>
      </c>
      <c r="Q135" t="s">
        <v>56</v>
      </c>
    </row>
    <row r="136" spans="1:17" x14ac:dyDescent="0.25">
      <c r="A136">
        <v>235</v>
      </c>
      <c r="B136" t="s">
        <v>61</v>
      </c>
      <c r="C136" t="s">
        <v>17</v>
      </c>
      <c r="D136" t="s">
        <v>18</v>
      </c>
      <c r="E136" t="s">
        <v>62</v>
      </c>
      <c r="F136">
        <v>7</v>
      </c>
      <c r="G136">
        <v>22634</v>
      </c>
      <c r="H136" t="s">
        <v>206</v>
      </c>
      <c r="J136">
        <v>20</v>
      </c>
      <c r="K136" t="s">
        <v>21</v>
      </c>
      <c r="L136" t="s">
        <v>46</v>
      </c>
      <c r="M136" t="s">
        <v>39</v>
      </c>
      <c r="N136">
        <v>126750.39999999999</v>
      </c>
      <c r="O136">
        <v>13064.36</v>
      </c>
      <c r="P136" t="s">
        <v>40</v>
      </c>
      <c r="Q136" t="s">
        <v>25</v>
      </c>
    </row>
    <row r="137" spans="1:17" x14ac:dyDescent="0.25">
      <c r="A137">
        <v>236</v>
      </c>
      <c r="B137" t="s">
        <v>109</v>
      </c>
      <c r="C137" t="s">
        <v>68</v>
      </c>
      <c r="D137" t="s">
        <v>18</v>
      </c>
      <c r="E137" t="s">
        <v>62</v>
      </c>
      <c r="F137">
        <v>5</v>
      </c>
      <c r="G137">
        <v>75949</v>
      </c>
      <c r="H137" t="s">
        <v>207</v>
      </c>
      <c r="J137">
        <v>20</v>
      </c>
      <c r="K137" t="s">
        <v>54</v>
      </c>
      <c r="L137" t="s">
        <v>31</v>
      </c>
      <c r="M137" t="s">
        <v>100</v>
      </c>
      <c r="N137">
        <v>303796</v>
      </c>
      <c r="O137">
        <v>84553.59</v>
      </c>
      <c r="P137" t="s">
        <v>65</v>
      </c>
      <c r="Q137" t="s">
        <v>56</v>
      </c>
    </row>
    <row r="138" spans="1:17" x14ac:dyDescent="0.25">
      <c r="A138">
        <v>237</v>
      </c>
      <c r="B138" t="s">
        <v>34</v>
      </c>
      <c r="C138" t="s">
        <v>27</v>
      </c>
      <c r="D138" t="s">
        <v>28</v>
      </c>
      <c r="E138" t="s">
        <v>103</v>
      </c>
      <c r="F138">
        <v>8</v>
      </c>
      <c r="G138">
        <v>38042</v>
      </c>
      <c r="H138" t="s">
        <v>147</v>
      </c>
      <c r="J138">
        <v>5</v>
      </c>
      <c r="K138" t="s">
        <v>54</v>
      </c>
      <c r="L138" t="s">
        <v>31</v>
      </c>
      <c r="M138" t="s">
        <v>39</v>
      </c>
      <c r="N138">
        <v>289119.2</v>
      </c>
      <c r="O138">
        <v>56983.34</v>
      </c>
      <c r="P138" t="s">
        <v>40</v>
      </c>
      <c r="Q138" t="s">
        <v>25</v>
      </c>
    </row>
    <row r="139" spans="1:17" x14ac:dyDescent="0.25">
      <c r="A139">
        <v>238</v>
      </c>
      <c r="B139" t="s">
        <v>61</v>
      </c>
      <c r="C139" t="s">
        <v>35</v>
      </c>
      <c r="D139" t="s">
        <v>28</v>
      </c>
      <c r="E139" t="s">
        <v>103</v>
      </c>
      <c r="F139">
        <v>9</v>
      </c>
      <c r="G139">
        <v>74298</v>
      </c>
      <c r="H139" t="s">
        <v>208</v>
      </c>
      <c r="J139">
        <v>5</v>
      </c>
      <c r="K139" t="s">
        <v>54</v>
      </c>
      <c r="L139" t="s">
        <v>55</v>
      </c>
      <c r="M139" t="s">
        <v>64</v>
      </c>
      <c r="N139">
        <v>635247.9</v>
      </c>
      <c r="O139">
        <v>183695.64</v>
      </c>
      <c r="P139" t="s">
        <v>40</v>
      </c>
      <c r="Q139" t="s">
        <v>56</v>
      </c>
    </row>
    <row r="140" spans="1:17" x14ac:dyDescent="0.25">
      <c r="A140">
        <v>239</v>
      </c>
      <c r="B140" t="s">
        <v>107</v>
      </c>
      <c r="C140" t="s">
        <v>35</v>
      </c>
      <c r="D140" t="s">
        <v>18</v>
      </c>
      <c r="E140" t="s">
        <v>36</v>
      </c>
      <c r="F140">
        <v>4</v>
      </c>
      <c r="G140">
        <v>42944</v>
      </c>
      <c r="H140" t="s">
        <v>209</v>
      </c>
      <c r="J140">
        <v>0</v>
      </c>
      <c r="K140" t="s">
        <v>38</v>
      </c>
      <c r="L140" t="s">
        <v>55</v>
      </c>
      <c r="M140" t="s">
        <v>32</v>
      </c>
      <c r="N140">
        <v>171776</v>
      </c>
      <c r="O140">
        <v>29476.84</v>
      </c>
      <c r="P140" t="s">
        <v>33</v>
      </c>
      <c r="Q140" t="s">
        <v>56</v>
      </c>
    </row>
    <row r="141" spans="1:17" x14ac:dyDescent="0.25">
      <c r="A141">
        <v>240</v>
      </c>
      <c r="B141" t="s">
        <v>115</v>
      </c>
      <c r="C141" t="s">
        <v>27</v>
      </c>
      <c r="D141" t="s">
        <v>76</v>
      </c>
      <c r="E141" t="s">
        <v>101</v>
      </c>
      <c r="F141">
        <v>10</v>
      </c>
      <c r="G141">
        <v>16054</v>
      </c>
      <c r="H141" t="s">
        <v>210</v>
      </c>
      <c r="J141">
        <v>5</v>
      </c>
      <c r="K141" t="s">
        <v>74</v>
      </c>
      <c r="L141" t="s">
        <v>31</v>
      </c>
      <c r="M141" t="s">
        <v>64</v>
      </c>
      <c r="N141">
        <v>152513</v>
      </c>
      <c r="O141">
        <v>28362.62</v>
      </c>
      <c r="P141" t="s">
        <v>40</v>
      </c>
      <c r="Q141" t="s">
        <v>56</v>
      </c>
    </row>
    <row r="142" spans="1:17" x14ac:dyDescent="0.25">
      <c r="A142">
        <v>241</v>
      </c>
      <c r="B142" t="s">
        <v>16</v>
      </c>
      <c r="C142" t="s">
        <v>35</v>
      </c>
      <c r="D142" t="s">
        <v>42</v>
      </c>
      <c r="E142" t="s">
        <v>52</v>
      </c>
      <c r="F142">
        <v>3</v>
      </c>
      <c r="G142">
        <v>7372</v>
      </c>
      <c r="H142" t="s">
        <v>211</v>
      </c>
      <c r="J142">
        <v>10</v>
      </c>
      <c r="K142" t="s">
        <v>58</v>
      </c>
      <c r="L142" t="s">
        <v>31</v>
      </c>
      <c r="M142" t="s">
        <v>23</v>
      </c>
      <c r="N142">
        <v>19904.400000000001</v>
      </c>
      <c r="O142">
        <v>5421.56</v>
      </c>
      <c r="P142" t="s">
        <v>24</v>
      </c>
      <c r="Q142" t="s">
        <v>75</v>
      </c>
    </row>
    <row r="143" spans="1:17" x14ac:dyDescent="0.25">
      <c r="A143">
        <v>242</v>
      </c>
      <c r="B143" t="s">
        <v>41</v>
      </c>
      <c r="C143" t="s">
        <v>68</v>
      </c>
      <c r="D143" t="s">
        <v>28</v>
      </c>
      <c r="E143" t="s">
        <v>29</v>
      </c>
      <c r="F143">
        <v>6</v>
      </c>
      <c r="G143">
        <v>35430</v>
      </c>
      <c r="H143" t="s">
        <v>212</v>
      </c>
      <c r="J143">
        <v>10</v>
      </c>
      <c r="K143" t="s">
        <v>54</v>
      </c>
      <c r="L143" t="s">
        <v>55</v>
      </c>
      <c r="M143" t="s">
        <v>64</v>
      </c>
      <c r="N143">
        <v>191322</v>
      </c>
      <c r="O143">
        <v>48684.34</v>
      </c>
      <c r="P143" t="s">
        <v>24</v>
      </c>
      <c r="Q143" t="s">
        <v>25</v>
      </c>
    </row>
    <row r="144" spans="1:17" x14ac:dyDescent="0.25">
      <c r="A144">
        <v>243</v>
      </c>
      <c r="B144" t="s">
        <v>84</v>
      </c>
      <c r="C144" t="s">
        <v>27</v>
      </c>
      <c r="D144" t="s">
        <v>42</v>
      </c>
      <c r="E144" t="s">
        <v>59</v>
      </c>
      <c r="F144">
        <v>9</v>
      </c>
      <c r="G144">
        <v>12109</v>
      </c>
      <c r="H144" t="s">
        <v>213</v>
      </c>
      <c r="J144">
        <v>20</v>
      </c>
      <c r="K144" t="s">
        <v>21</v>
      </c>
      <c r="L144" t="s">
        <v>55</v>
      </c>
      <c r="M144" t="s">
        <v>47</v>
      </c>
      <c r="N144">
        <v>87184.8</v>
      </c>
      <c r="O144">
        <v>14345.06</v>
      </c>
      <c r="P144" t="s">
        <v>40</v>
      </c>
      <c r="Q144" t="s">
        <v>25</v>
      </c>
    </row>
    <row r="145" spans="1:17" x14ac:dyDescent="0.25">
      <c r="A145">
        <v>244</v>
      </c>
      <c r="B145" t="s">
        <v>107</v>
      </c>
      <c r="C145" t="s">
        <v>68</v>
      </c>
      <c r="D145" t="s">
        <v>76</v>
      </c>
      <c r="E145" t="s">
        <v>92</v>
      </c>
      <c r="F145">
        <v>6</v>
      </c>
      <c r="G145">
        <v>24196</v>
      </c>
      <c r="H145" t="s">
        <v>214</v>
      </c>
      <c r="J145">
        <v>0</v>
      </c>
      <c r="K145" t="s">
        <v>74</v>
      </c>
      <c r="L145" t="s">
        <v>22</v>
      </c>
      <c r="M145" t="s">
        <v>23</v>
      </c>
      <c r="N145">
        <v>145176</v>
      </c>
      <c r="O145">
        <v>31567.09</v>
      </c>
      <c r="P145" t="s">
        <v>40</v>
      </c>
      <c r="Q145" t="s">
        <v>75</v>
      </c>
    </row>
    <row r="146" spans="1:17" x14ac:dyDescent="0.25">
      <c r="A146">
        <v>245</v>
      </c>
      <c r="B146" t="s">
        <v>79</v>
      </c>
      <c r="C146" t="s">
        <v>68</v>
      </c>
      <c r="D146" t="s">
        <v>42</v>
      </c>
      <c r="E146" t="s">
        <v>59</v>
      </c>
      <c r="F146">
        <v>8</v>
      </c>
      <c r="G146">
        <v>14196</v>
      </c>
      <c r="H146" t="s">
        <v>215</v>
      </c>
      <c r="J146">
        <v>10</v>
      </c>
      <c r="K146" t="s">
        <v>74</v>
      </c>
      <c r="L146" t="s">
        <v>31</v>
      </c>
      <c r="M146" t="s">
        <v>100</v>
      </c>
      <c r="N146">
        <v>102211.2</v>
      </c>
      <c r="O146">
        <v>10337.94</v>
      </c>
      <c r="P146" t="s">
        <v>40</v>
      </c>
      <c r="Q146" t="s">
        <v>25</v>
      </c>
    </row>
    <row r="147" spans="1:17" x14ac:dyDescent="0.25">
      <c r="A147">
        <v>246</v>
      </c>
      <c r="B147" t="s">
        <v>16</v>
      </c>
      <c r="C147" t="s">
        <v>17</v>
      </c>
      <c r="D147" t="s">
        <v>28</v>
      </c>
      <c r="E147" t="s">
        <v>29</v>
      </c>
      <c r="F147">
        <v>1</v>
      </c>
      <c r="G147">
        <v>2971</v>
      </c>
      <c r="H147" t="s">
        <v>216</v>
      </c>
      <c r="J147">
        <v>15</v>
      </c>
      <c r="K147" t="s">
        <v>45</v>
      </c>
      <c r="L147" t="s">
        <v>55</v>
      </c>
      <c r="M147" t="s">
        <v>81</v>
      </c>
      <c r="N147">
        <v>2525.35</v>
      </c>
      <c r="O147">
        <v>239.09</v>
      </c>
      <c r="P147" t="s">
        <v>65</v>
      </c>
      <c r="Q147" t="s">
        <v>56</v>
      </c>
    </row>
    <row r="148" spans="1:17" x14ac:dyDescent="0.25">
      <c r="A148">
        <v>247</v>
      </c>
      <c r="B148" t="s">
        <v>107</v>
      </c>
      <c r="C148" t="s">
        <v>68</v>
      </c>
      <c r="D148" t="s">
        <v>42</v>
      </c>
      <c r="E148" t="s">
        <v>59</v>
      </c>
      <c r="F148">
        <v>9</v>
      </c>
      <c r="G148">
        <v>1412</v>
      </c>
      <c r="H148" t="s">
        <v>217</v>
      </c>
      <c r="J148">
        <v>10</v>
      </c>
      <c r="K148" t="s">
        <v>38</v>
      </c>
      <c r="L148" t="s">
        <v>46</v>
      </c>
      <c r="M148" t="s">
        <v>32</v>
      </c>
      <c r="N148">
        <v>11437.2</v>
      </c>
      <c r="O148">
        <v>2627.1</v>
      </c>
      <c r="P148" t="s">
        <v>40</v>
      </c>
      <c r="Q148" t="s">
        <v>75</v>
      </c>
    </row>
    <row r="149" spans="1:17" x14ac:dyDescent="0.25">
      <c r="A149">
        <v>248</v>
      </c>
      <c r="B149" t="s">
        <v>34</v>
      </c>
      <c r="C149" t="s">
        <v>68</v>
      </c>
      <c r="D149" t="s">
        <v>28</v>
      </c>
      <c r="E149" t="s">
        <v>29</v>
      </c>
      <c r="F149">
        <v>10</v>
      </c>
      <c r="G149">
        <v>59553</v>
      </c>
      <c r="H149" t="s">
        <v>218</v>
      </c>
      <c r="J149">
        <v>5</v>
      </c>
      <c r="K149" t="s">
        <v>45</v>
      </c>
      <c r="L149" t="s">
        <v>55</v>
      </c>
      <c r="M149" t="s">
        <v>39</v>
      </c>
      <c r="N149">
        <v>565753.5</v>
      </c>
      <c r="O149">
        <v>114965.14</v>
      </c>
      <c r="P149" t="s">
        <v>24</v>
      </c>
      <c r="Q149" t="s">
        <v>56</v>
      </c>
    </row>
    <row r="150" spans="1:17" x14ac:dyDescent="0.25">
      <c r="A150">
        <v>249</v>
      </c>
      <c r="B150" t="s">
        <v>16</v>
      </c>
      <c r="C150" t="s">
        <v>17</v>
      </c>
      <c r="D150" t="s">
        <v>28</v>
      </c>
      <c r="E150" t="s">
        <v>29</v>
      </c>
      <c r="F150">
        <v>6</v>
      </c>
      <c r="G150">
        <v>28957</v>
      </c>
      <c r="H150" t="s">
        <v>219</v>
      </c>
      <c r="J150">
        <v>5</v>
      </c>
      <c r="K150" t="s">
        <v>38</v>
      </c>
      <c r="L150" t="s">
        <v>55</v>
      </c>
      <c r="M150" t="s">
        <v>81</v>
      </c>
      <c r="N150">
        <v>165054.9</v>
      </c>
      <c r="O150">
        <v>22839.48</v>
      </c>
      <c r="P150" t="s">
        <v>33</v>
      </c>
      <c r="Q150" t="s">
        <v>25</v>
      </c>
    </row>
    <row r="151" spans="1:17" x14ac:dyDescent="0.25">
      <c r="A151">
        <v>250</v>
      </c>
      <c r="B151" t="s">
        <v>34</v>
      </c>
      <c r="C151" t="s">
        <v>35</v>
      </c>
      <c r="D151" t="s">
        <v>18</v>
      </c>
      <c r="E151" t="s">
        <v>62</v>
      </c>
      <c r="F151">
        <v>5</v>
      </c>
      <c r="G151">
        <v>70215</v>
      </c>
      <c r="H151" t="s">
        <v>220</v>
      </c>
      <c r="J151">
        <v>5</v>
      </c>
      <c r="K151" t="s">
        <v>54</v>
      </c>
      <c r="L151" t="s">
        <v>46</v>
      </c>
      <c r="M151" t="s">
        <v>39</v>
      </c>
      <c r="N151">
        <v>333521.25</v>
      </c>
      <c r="O151">
        <v>49970.13</v>
      </c>
      <c r="P151" t="s">
        <v>65</v>
      </c>
      <c r="Q151" t="s">
        <v>75</v>
      </c>
    </row>
    <row r="152" spans="1:17" x14ac:dyDescent="0.25">
      <c r="A152">
        <v>251</v>
      </c>
      <c r="B152" t="s">
        <v>115</v>
      </c>
      <c r="C152" t="s">
        <v>35</v>
      </c>
      <c r="D152" t="s">
        <v>42</v>
      </c>
      <c r="E152" t="s">
        <v>59</v>
      </c>
      <c r="F152">
        <v>2</v>
      </c>
      <c r="G152">
        <v>13850</v>
      </c>
      <c r="H152" t="s">
        <v>221</v>
      </c>
      <c r="J152">
        <v>10</v>
      </c>
      <c r="K152" t="s">
        <v>54</v>
      </c>
      <c r="L152" t="s">
        <v>22</v>
      </c>
      <c r="M152" t="s">
        <v>23</v>
      </c>
      <c r="N152">
        <v>24930</v>
      </c>
      <c r="O152">
        <v>2500.83</v>
      </c>
      <c r="P152" t="s">
        <v>24</v>
      </c>
      <c r="Q152" t="s">
        <v>75</v>
      </c>
    </row>
    <row r="153" spans="1:17" x14ac:dyDescent="0.25">
      <c r="A153">
        <v>252</v>
      </c>
      <c r="B153" t="s">
        <v>16</v>
      </c>
      <c r="C153" t="s">
        <v>35</v>
      </c>
      <c r="D153" t="s">
        <v>42</v>
      </c>
      <c r="E153" t="s">
        <v>43</v>
      </c>
      <c r="F153">
        <v>9</v>
      </c>
      <c r="G153">
        <v>66987</v>
      </c>
      <c r="H153" t="s">
        <v>222</v>
      </c>
      <c r="J153">
        <v>20</v>
      </c>
      <c r="K153" t="s">
        <v>58</v>
      </c>
      <c r="L153" t="s">
        <v>31</v>
      </c>
      <c r="M153" t="s">
        <v>47</v>
      </c>
      <c r="N153">
        <v>482306.4</v>
      </c>
      <c r="O153">
        <v>48505.67</v>
      </c>
      <c r="P153" t="s">
        <v>24</v>
      </c>
      <c r="Q153" t="s">
        <v>56</v>
      </c>
    </row>
    <row r="154" spans="1:17" x14ac:dyDescent="0.25">
      <c r="A154">
        <v>253</v>
      </c>
      <c r="B154" t="s">
        <v>34</v>
      </c>
      <c r="C154" t="s">
        <v>68</v>
      </c>
      <c r="D154" t="s">
        <v>28</v>
      </c>
      <c r="E154" t="s">
        <v>103</v>
      </c>
      <c r="F154">
        <v>9</v>
      </c>
      <c r="G154">
        <v>19022</v>
      </c>
      <c r="H154" t="s">
        <v>223</v>
      </c>
      <c r="J154">
        <v>15</v>
      </c>
      <c r="K154" t="s">
        <v>58</v>
      </c>
      <c r="L154" t="s">
        <v>55</v>
      </c>
      <c r="M154" t="s">
        <v>23</v>
      </c>
      <c r="N154">
        <v>145518.29999999999</v>
      </c>
      <c r="O154">
        <v>13896.24</v>
      </c>
      <c r="P154" t="s">
        <v>33</v>
      </c>
      <c r="Q154" t="s">
        <v>75</v>
      </c>
    </row>
    <row r="155" spans="1:17" x14ac:dyDescent="0.25">
      <c r="A155">
        <v>254</v>
      </c>
      <c r="B155" t="s">
        <v>41</v>
      </c>
      <c r="C155" t="s">
        <v>35</v>
      </c>
      <c r="D155" t="s">
        <v>42</v>
      </c>
      <c r="E155" t="s">
        <v>59</v>
      </c>
      <c r="F155">
        <v>4</v>
      </c>
      <c r="G155">
        <v>18559</v>
      </c>
      <c r="H155" t="s">
        <v>224</v>
      </c>
      <c r="J155">
        <v>0</v>
      </c>
      <c r="K155" t="s">
        <v>74</v>
      </c>
      <c r="L155" t="s">
        <v>31</v>
      </c>
      <c r="M155" t="s">
        <v>64</v>
      </c>
      <c r="N155">
        <v>74236</v>
      </c>
      <c r="O155">
        <v>19126.38</v>
      </c>
      <c r="P155" t="s">
        <v>24</v>
      </c>
      <c r="Q155" t="s">
        <v>56</v>
      </c>
    </row>
    <row r="156" spans="1:17" x14ac:dyDescent="0.25">
      <c r="A156">
        <v>255</v>
      </c>
      <c r="B156" t="s">
        <v>16</v>
      </c>
      <c r="C156" t="s">
        <v>17</v>
      </c>
      <c r="D156" t="s">
        <v>42</v>
      </c>
      <c r="E156" t="s">
        <v>43</v>
      </c>
      <c r="F156">
        <v>3</v>
      </c>
      <c r="G156">
        <v>75234</v>
      </c>
      <c r="H156" t="s">
        <v>225</v>
      </c>
      <c r="J156">
        <v>10</v>
      </c>
      <c r="K156" t="s">
        <v>45</v>
      </c>
      <c r="L156" t="s">
        <v>31</v>
      </c>
      <c r="M156" t="s">
        <v>23</v>
      </c>
      <c r="N156">
        <v>203131.8</v>
      </c>
      <c r="O156">
        <v>27757.18</v>
      </c>
      <c r="P156" t="s">
        <v>65</v>
      </c>
      <c r="Q156" t="s">
        <v>25</v>
      </c>
    </row>
    <row r="157" spans="1:17" x14ac:dyDescent="0.25">
      <c r="A157">
        <v>256</v>
      </c>
      <c r="B157" t="s">
        <v>115</v>
      </c>
      <c r="C157" t="s">
        <v>68</v>
      </c>
      <c r="D157" t="s">
        <v>76</v>
      </c>
      <c r="E157" t="s">
        <v>92</v>
      </c>
      <c r="F157">
        <v>1</v>
      </c>
      <c r="G157">
        <v>68806</v>
      </c>
      <c r="H157" t="s">
        <v>226</v>
      </c>
      <c r="J157">
        <v>20</v>
      </c>
      <c r="K157" t="s">
        <v>45</v>
      </c>
      <c r="L157" t="s">
        <v>31</v>
      </c>
      <c r="M157" t="s">
        <v>50</v>
      </c>
      <c r="N157">
        <v>55044.800000000003</v>
      </c>
      <c r="O157">
        <v>8045.03</v>
      </c>
      <c r="P157" t="s">
        <v>65</v>
      </c>
      <c r="Q157" t="s">
        <v>56</v>
      </c>
    </row>
    <row r="158" spans="1:17" x14ac:dyDescent="0.25">
      <c r="A158">
        <v>257</v>
      </c>
      <c r="B158" t="s">
        <v>107</v>
      </c>
      <c r="C158" t="s">
        <v>68</v>
      </c>
      <c r="D158" t="s">
        <v>76</v>
      </c>
      <c r="E158" t="s">
        <v>92</v>
      </c>
      <c r="F158">
        <v>4</v>
      </c>
      <c r="G158">
        <v>10625</v>
      </c>
      <c r="H158" t="s">
        <v>146</v>
      </c>
      <c r="J158">
        <v>5</v>
      </c>
      <c r="K158" t="s">
        <v>45</v>
      </c>
      <c r="L158" t="s">
        <v>31</v>
      </c>
      <c r="M158" t="s">
        <v>32</v>
      </c>
      <c r="N158">
        <v>40375</v>
      </c>
      <c r="O158">
        <v>9277.74</v>
      </c>
      <c r="P158" t="s">
        <v>65</v>
      </c>
      <c r="Q158" t="s">
        <v>25</v>
      </c>
    </row>
    <row r="159" spans="1:17" x14ac:dyDescent="0.25">
      <c r="A159">
        <v>258</v>
      </c>
      <c r="B159" t="s">
        <v>91</v>
      </c>
      <c r="C159" t="s">
        <v>35</v>
      </c>
      <c r="D159" t="s">
        <v>76</v>
      </c>
      <c r="E159" t="s">
        <v>77</v>
      </c>
      <c r="F159">
        <v>2</v>
      </c>
      <c r="G159">
        <v>64916</v>
      </c>
      <c r="H159" t="s">
        <v>227</v>
      </c>
      <c r="J159">
        <v>0</v>
      </c>
      <c r="K159" t="s">
        <v>38</v>
      </c>
      <c r="L159" t="s">
        <v>55</v>
      </c>
      <c r="M159" t="s">
        <v>47</v>
      </c>
      <c r="N159">
        <v>129832</v>
      </c>
      <c r="O159">
        <v>38304.980000000003</v>
      </c>
      <c r="P159" t="s">
        <v>40</v>
      </c>
      <c r="Q159" t="s">
        <v>75</v>
      </c>
    </row>
    <row r="160" spans="1:17" x14ac:dyDescent="0.25">
      <c r="A160">
        <v>259</v>
      </c>
      <c r="B160" t="s">
        <v>91</v>
      </c>
      <c r="C160" t="s">
        <v>27</v>
      </c>
      <c r="D160" t="s">
        <v>69</v>
      </c>
      <c r="E160" t="s">
        <v>121</v>
      </c>
      <c r="F160">
        <v>9</v>
      </c>
      <c r="G160">
        <v>12036</v>
      </c>
      <c r="H160" t="s">
        <v>228</v>
      </c>
      <c r="J160">
        <v>15</v>
      </c>
      <c r="K160" t="s">
        <v>74</v>
      </c>
      <c r="L160" t="s">
        <v>46</v>
      </c>
      <c r="M160" t="s">
        <v>64</v>
      </c>
      <c r="N160">
        <v>92075.4</v>
      </c>
      <c r="O160">
        <v>25781.93</v>
      </c>
      <c r="P160" t="s">
        <v>65</v>
      </c>
      <c r="Q160" t="s">
        <v>25</v>
      </c>
    </row>
    <row r="161" spans="1:17" x14ac:dyDescent="0.25">
      <c r="A161">
        <v>260</v>
      </c>
      <c r="B161" t="s">
        <v>84</v>
      </c>
      <c r="C161" t="s">
        <v>35</v>
      </c>
      <c r="D161" t="s">
        <v>76</v>
      </c>
      <c r="E161" t="s">
        <v>77</v>
      </c>
      <c r="F161">
        <v>10</v>
      </c>
      <c r="G161">
        <v>1489</v>
      </c>
      <c r="H161" t="s">
        <v>229</v>
      </c>
      <c r="J161">
        <v>20</v>
      </c>
      <c r="K161" t="s">
        <v>21</v>
      </c>
      <c r="L161" t="s">
        <v>31</v>
      </c>
      <c r="M161" t="s">
        <v>100</v>
      </c>
      <c r="N161">
        <v>11912</v>
      </c>
      <c r="O161">
        <v>2373.69</v>
      </c>
      <c r="P161" t="s">
        <v>65</v>
      </c>
      <c r="Q161" t="s">
        <v>56</v>
      </c>
    </row>
    <row r="162" spans="1:17" x14ac:dyDescent="0.25">
      <c r="A162">
        <v>261</v>
      </c>
      <c r="B162" t="s">
        <v>26</v>
      </c>
      <c r="C162" t="s">
        <v>27</v>
      </c>
      <c r="D162" t="s">
        <v>42</v>
      </c>
      <c r="E162" t="s">
        <v>52</v>
      </c>
      <c r="F162">
        <v>9</v>
      </c>
      <c r="G162">
        <v>20726</v>
      </c>
      <c r="H162" t="s">
        <v>230</v>
      </c>
      <c r="J162">
        <v>0</v>
      </c>
      <c r="K162" t="s">
        <v>21</v>
      </c>
      <c r="L162" t="s">
        <v>22</v>
      </c>
      <c r="M162" t="s">
        <v>81</v>
      </c>
      <c r="N162">
        <v>186534</v>
      </c>
      <c r="O162">
        <v>27643.66</v>
      </c>
      <c r="P162" t="s">
        <v>33</v>
      </c>
      <c r="Q162" t="s">
        <v>25</v>
      </c>
    </row>
    <row r="163" spans="1:17" x14ac:dyDescent="0.25">
      <c r="A163">
        <v>262</v>
      </c>
      <c r="B163" t="s">
        <v>67</v>
      </c>
      <c r="C163" t="s">
        <v>27</v>
      </c>
      <c r="D163" t="s">
        <v>76</v>
      </c>
      <c r="E163" t="s">
        <v>92</v>
      </c>
      <c r="F163">
        <v>8</v>
      </c>
      <c r="G163">
        <v>79580</v>
      </c>
      <c r="H163" t="s">
        <v>136</v>
      </c>
      <c r="J163">
        <v>5</v>
      </c>
      <c r="K163" t="s">
        <v>45</v>
      </c>
      <c r="L163" t="s">
        <v>22</v>
      </c>
      <c r="M163" t="s">
        <v>64</v>
      </c>
      <c r="N163">
        <v>604808</v>
      </c>
      <c r="O163">
        <v>162790.70000000001</v>
      </c>
      <c r="P163" t="s">
        <v>40</v>
      </c>
      <c r="Q163" t="s">
        <v>56</v>
      </c>
    </row>
    <row r="164" spans="1:17" x14ac:dyDescent="0.25">
      <c r="A164">
        <v>263</v>
      </c>
      <c r="B164" t="s">
        <v>115</v>
      </c>
      <c r="C164" t="s">
        <v>35</v>
      </c>
      <c r="D164" t="s">
        <v>18</v>
      </c>
      <c r="E164" t="s">
        <v>62</v>
      </c>
      <c r="F164">
        <v>8</v>
      </c>
      <c r="G164">
        <v>52040</v>
      </c>
      <c r="H164" t="s">
        <v>231</v>
      </c>
      <c r="J164">
        <v>5</v>
      </c>
      <c r="K164" t="s">
        <v>38</v>
      </c>
      <c r="L164" t="s">
        <v>22</v>
      </c>
      <c r="M164" t="s">
        <v>23</v>
      </c>
      <c r="N164">
        <v>395504</v>
      </c>
      <c r="O164">
        <v>97025.64</v>
      </c>
      <c r="P164" t="s">
        <v>40</v>
      </c>
      <c r="Q164" t="s">
        <v>56</v>
      </c>
    </row>
    <row r="165" spans="1:17" x14ac:dyDescent="0.25">
      <c r="A165">
        <v>264</v>
      </c>
      <c r="B165" t="s">
        <v>91</v>
      </c>
      <c r="C165" t="s">
        <v>68</v>
      </c>
      <c r="D165" t="s">
        <v>28</v>
      </c>
      <c r="E165" t="s">
        <v>103</v>
      </c>
      <c r="F165">
        <v>4</v>
      </c>
      <c r="G165">
        <v>5127</v>
      </c>
      <c r="H165" t="s">
        <v>232</v>
      </c>
      <c r="J165">
        <v>20</v>
      </c>
      <c r="K165" t="s">
        <v>54</v>
      </c>
      <c r="L165" t="s">
        <v>46</v>
      </c>
      <c r="M165" t="s">
        <v>100</v>
      </c>
      <c r="N165">
        <v>16406.400000000001</v>
      </c>
      <c r="O165">
        <v>3722.13</v>
      </c>
      <c r="P165" t="s">
        <v>24</v>
      </c>
      <c r="Q165" t="s">
        <v>56</v>
      </c>
    </row>
    <row r="166" spans="1:17" x14ac:dyDescent="0.25">
      <c r="A166">
        <v>265</v>
      </c>
      <c r="B166" t="s">
        <v>79</v>
      </c>
      <c r="C166" t="s">
        <v>17</v>
      </c>
      <c r="D166" t="s">
        <v>76</v>
      </c>
      <c r="E166" t="s">
        <v>77</v>
      </c>
      <c r="F166">
        <v>10</v>
      </c>
      <c r="G166">
        <v>72322</v>
      </c>
      <c r="H166" t="s">
        <v>233</v>
      </c>
      <c r="J166">
        <v>5</v>
      </c>
      <c r="K166" t="s">
        <v>74</v>
      </c>
      <c r="L166" t="s">
        <v>31</v>
      </c>
      <c r="M166" t="s">
        <v>32</v>
      </c>
      <c r="N166">
        <v>687059</v>
      </c>
      <c r="O166">
        <v>77543.56</v>
      </c>
      <c r="P166" t="s">
        <v>65</v>
      </c>
      <c r="Q166" t="s">
        <v>25</v>
      </c>
    </row>
    <row r="167" spans="1:17" x14ac:dyDescent="0.25">
      <c r="A167">
        <v>266</v>
      </c>
      <c r="B167" t="s">
        <v>67</v>
      </c>
      <c r="C167" t="s">
        <v>35</v>
      </c>
      <c r="D167" t="s">
        <v>18</v>
      </c>
      <c r="E167" t="s">
        <v>62</v>
      </c>
      <c r="F167">
        <v>10</v>
      </c>
      <c r="G167">
        <v>10050</v>
      </c>
      <c r="H167" t="s">
        <v>232</v>
      </c>
      <c r="J167">
        <v>10</v>
      </c>
      <c r="K167" t="s">
        <v>21</v>
      </c>
      <c r="L167" t="s">
        <v>22</v>
      </c>
      <c r="M167" t="s">
        <v>100</v>
      </c>
      <c r="N167">
        <v>90450</v>
      </c>
      <c r="O167">
        <v>21711.81</v>
      </c>
      <c r="P167" t="s">
        <v>65</v>
      </c>
      <c r="Q167" t="s">
        <v>75</v>
      </c>
    </row>
    <row r="168" spans="1:17" x14ac:dyDescent="0.25">
      <c r="A168">
        <v>267</v>
      </c>
      <c r="B168" t="s">
        <v>79</v>
      </c>
      <c r="C168" t="s">
        <v>35</v>
      </c>
      <c r="D168" t="s">
        <v>42</v>
      </c>
      <c r="E168" t="s">
        <v>59</v>
      </c>
      <c r="F168">
        <v>1</v>
      </c>
      <c r="G168">
        <v>74703</v>
      </c>
      <c r="H168" t="s">
        <v>234</v>
      </c>
      <c r="J168">
        <v>5</v>
      </c>
      <c r="K168" t="s">
        <v>74</v>
      </c>
      <c r="L168" t="s">
        <v>22</v>
      </c>
      <c r="M168" t="s">
        <v>23</v>
      </c>
      <c r="N168">
        <v>70967.850000000006</v>
      </c>
      <c r="O168">
        <v>7064.17</v>
      </c>
      <c r="P168" t="s">
        <v>40</v>
      </c>
      <c r="Q168" t="s">
        <v>75</v>
      </c>
    </row>
    <row r="169" spans="1:17" x14ac:dyDescent="0.25">
      <c r="A169">
        <v>268</v>
      </c>
      <c r="B169" t="s">
        <v>34</v>
      </c>
      <c r="C169" t="s">
        <v>68</v>
      </c>
      <c r="D169" t="s">
        <v>76</v>
      </c>
      <c r="E169" t="s">
        <v>77</v>
      </c>
      <c r="F169">
        <v>10</v>
      </c>
      <c r="G169">
        <v>13265</v>
      </c>
      <c r="H169" t="s">
        <v>235</v>
      </c>
      <c r="J169">
        <v>5</v>
      </c>
      <c r="K169" t="s">
        <v>54</v>
      </c>
      <c r="L169" t="s">
        <v>31</v>
      </c>
      <c r="M169" t="s">
        <v>64</v>
      </c>
      <c r="N169">
        <v>126017.5</v>
      </c>
      <c r="O169">
        <v>21562.17</v>
      </c>
      <c r="P169" t="s">
        <v>40</v>
      </c>
      <c r="Q169" t="s">
        <v>75</v>
      </c>
    </row>
    <row r="170" spans="1:17" x14ac:dyDescent="0.25">
      <c r="A170">
        <v>269</v>
      </c>
      <c r="B170" t="s">
        <v>61</v>
      </c>
      <c r="C170" t="s">
        <v>35</v>
      </c>
      <c r="D170" t="s">
        <v>76</v>
      </c>
      <c r="E170" t="s">
        <v>92</v>
      </c>
      <c r="F170">
        <v>1</v>
      </c>
      <c r="G170">
        <v>14820</v>
      </c>
      <c r="H170" t="s">
        <v>236</v>
      </c>
      <c r="J170">
        <v>15</v>
      </c>
      <c r="K170" t="s">
        <v>45</v>
      </c>
      <c r="L170" t="s">
        <v>55</v>
      </c>
      <c r="M170" t="s">
        <v>64</v>
      </c>
      <c r="N170">
        <v>12597</v>
      </c>
      <c r="O170">
        <v>1300.18</v>
      </c>
      <c r="P170" t="s">
        <v>24</v>
      </c>
      <c r="Q170" t="s">
        <v>75</v>
      </c>
    </row>
    <row r="171" spans="1:17" x14ac:dyDescent="0.25">
      <c r="A171">
        <v>270</v>
      </c>
      <c r="B171" t="s">
        <v>34</v>
      </c>
      <c r="C171" t="s">
        <v>27</v>
      </c>
      <c r="D171" t="s">
        <v>69</v>
      </c>
      <c r="E171" t="s">
        <v>121</v>
      </c>
      <c r="F171">
        <v>6</v>
      </c>
      <c r="G171">
        <v>51073</v>
      </c>
      <c r="H171" t="s">
        <v>225</v>
      </c>
      <c r="J171">
        <v>10</v>
      </c>
      <c r="K171" t="s">
        <v>45</v>
      </c>
      <c r="L171" t="s">
        <v>31</v>
      </c>
      <c r="M171" t="s">
        <v>47</v>
      </c>
      <c r="N171">
        <v>275794.2</v>
      </c>
      <c r="O171">
        <v>79063.100000000006</v>
      </c>
      <c r="P171" t="s">
        <v>65</v>
      </c>
      <c r="Q171" t="s">
        <v>25</v>
      </c>
    </row>
    <row r="172" spans="1:17" x14ac:dyDescent="0.25">
      <c r="A172">
        <v>271</v>
      </c>
      <c r="B172" t="s">
        <v>115</v>
      </c>
      <c r="C172" t="s">
        <v>68</v>
      </c>
      <c r="D172" t="s">
        <v>69</v>
      </c>
      <c r="E172" t="s">
        <v>121</v>
      </c>
      <c r="F172">
        <v>6</v>
      </c>
      <c r="G172">
        <v>67895</v>
      </c>
      <c r="H172" t="s">
        <v>237</v>
      </c>
      <c r="J172">
        <v>15</v>
      </c>
      <c r="K172" t="s">
        <v>54</v>
      </c>
      <c r="L172" t="s">
        <v>55</v>
      </c>
      <c r="M172" t="s">
        <v>64</v>
      </c>
      <c r="N172">
        <v>346264.5</v>
      </c>
      <c r="O172">
        <v>100877.08</v>
      </c>
      <c r="P172" t="s">
        <v>24</v>
      </c>
      <c r="Q172" t="s">
        <v>25</v>
      </c>
    </row>
    <row r="173" spans="1:17" x14ac:dyDescent="0.25">
      <c r="A173">
        <v>272</v>
      </c>
      <c r="B173" t="s">
        <v>91</v>
      </c>
      <c r="C173" t="s">
        <v>68</v>
      </c>
      <c r="D173" t="s">
        <v>76</v>
      </c>
      <c r="E173" t="s">
        <v>101</v>
      </c>
      <c r="F173">
        <v>7</v>
      </c>
      <c r="G173">
        <v>7545</v>
      </c>
      <c r="H173" t="s">
        <v>238</v>
      </c>
      <c r="J173">
        <v>20</v>
      </c>
      <c r="K173" t="s">
        <v>21</v>
      </c>
      <c r="L173" t="s">
        <v>22</v>
      </c>
      <c r="M173" t="s">
        <v>50</v>
      </c>
      <c r="N173">
        <v>42252</v>
      </c>
      <c r="O173">
        <v>5181.66</v>
      </c>
      <c r="P173" t="s">
        <v>65</v>
      </c>
      <c r="Q173" t="s">
        <v>56</v>
      </c>
    </row>
    <row r="174" spans="1:17" x14ac:dyDescent="0.25">
      <c r="A174">
        <v>273</v>
      </c>
      <c r="B174" t="s">
        <v>94</v>
      </c>
      <c r="C174" t="s">
        <v>17</v>
      </c>
      <c r="D174" t="s">
        <v>76</v>
      </c>
      <c r="E174" t="s">
        <v>92</v>
      </c>
      <c r="F174">
        <v>5</v>
      </c>
      <c r="G174">
        <v>66462</v>
      </c>
      <c r="H174" t="s">
        <v>239</v>
      </c>
      <c r="J174">
        <v>10</v>
      </c>
      <c r="K174" t="s">
        <v>54</v>
      </c>
      <c r="L174" t="s">
        <v>31</v>
      </c>
      <c r="M174" t="s">
        <v>47</v>
      </c>
      <c r="N174">
        <v>299079</v>
      </c>
      <c r="O174">
        <v>28375.85</v>
      </c>
      <c r="P174" t="s">
        <v>33</v>
      </c>
      <c r="Q174" t="s">
        <v>25</v>
      </c>
    </row>
    <row r="175" spans="1:17" x14ac:dyDescent="0.25">
      <c r="A175">
        <v>274</v>
      </c>
      <c r="B175" t="s">
        <v>79</v>
      </c>
      <c r="C175" t="s">
        <v>27</v>
      </c>
      <c r="D175" t="s">
        <v>28</v>
      </c>
      <c r="E175" t="s">
        <v>103</v>
      </c>
      <c r="F175">
        <v>6</v>
      </c>
      <c r="G175">
        <v>76660</v>
      </c>
      <c r="H175" t="s">
        <v>240</v>
      </c>
      <c r="J175">
        <v>5</v>
      </c>
      <c r="K175" t="s">
        <v>74</v>
      </c>
      <c r="L175" t="s">
        <v>46</v>
      </c>
      <c r="M175" t="s">
        <v>64</v>
      </c>
      <c r="N175">
        <v>436962</v>
      </c>
      <c r="O175">
        <v>38711.99</v>
      </c>
      <c r="P175" t="s">
        <v>40</v>
      </c>
      <c r="Q175" t="s">
        <v>56</v>
      </c>
    </row>
    <row r="176" spans="1:17" x14ac:dyDescent="0.25">
      <c r="A176">
        <v>275</v>
      </c>
      <c r="B176" t="s">
        <v>115</v>
      </c>
      <c r="C176" t="s">
        <v>35</v>
      </c>
      <c r="D176" t="s">
        <v>76</v>
      </c>
      <c r="E176" t="s">
        <v>77</v>
      </c>
      <c r="F176">
        <v>10</v>
      </c>
      <c r="G176">
        <v>9056</v>
      </c>
      <c r="H176" t="s">
        <v>228</v>
      </c>
      <c r="J176">
        <v>15</v>
      </c>
      <c r="K176" t="s">
        <v>74</v>
      </c>
      <c r="L176" t="s">
        <v>31</v>
      </c>
      <c r="M176" t="s">
        <v>23</v>
      </c>
      <c r="N176">
        <v>76976</v>
      </c>
      <c r="O176">
        <v>13589.15</v>
      </c>
      <c r="P176" t="s">
        <v>24</v>
      </c>
      <c r="Q176" t="s">
        <v>56</v>
      </c>
    </row>
    <row r="177" spans="1:17" x14ac:dyDescent="0.25">
      <c r="A177">
        <v>276</v>
      </c>
      <c r="B177" t="s">
        <v>34</v>
      </c>
      <c r="C177" t="s">
        <v>17</v>
      </c>
      <c r="D177" t="s">
        <v>28</v>
      </c>
      <c r="E177" t="s">
        <v>29</v>
      </c>
      <c r="F177">
        <v>10</v>
      </c>
      <c r="G177">
        <v>66080</v>
      </c>
      <c r="H177" t="s">
        <v>241</v>
      </c>
      <c r="J177">
        <v>0</v>
      </c>
      <c r="K177" t="s">
        <v>74</v>
      </c>
      <c r="L177" t="s">
        <v>46</v>
      </c>
      <c r="M177" t="s">
        <v>23</v>
      </c>
      <c r="N177">
        <v>660800</v>
      </c>
      <c r="O177">
        <v>59538.19</v>
      </c>
      <c r="P177" t="s">
        <v>65</v>
      </c>
      <c r="Q177" t="s">
        <v>25</v>
      </c>
    </row>
    <row r="178" spans="1:17" x14ac:dyDescent="0.25">
      <c r="A178">
        <v>277</v>
      </c>
      <c r="B178" t="s">
        <v>107</v>
      </c>
      <c r="C178" t="s">
        <v>68</v>
      </c>
      <c r="D178" t="s">
        <v>69</v>
      </c>
      <c r="E178" t="s">
        <v>98</v>
      </c>
      <c r="F178">
        <v>9</v>
      </c>
      <c r="G178">
        <v>43316</v>
      </c>
      <c r="H178" t="s">
        <v>242</v>
      </c>
      <c r="J178">
        <v>0</v>
      </c>
      <c r="K178" t="s">
        <v>74</v>
      </c>
      <c r="L178" t="s">
        <v>31</v>
      </c>
      <c r="M178" t="s">
        <v>81</v>
      </c>
      <c r="N178">
        <v>389844</v>
      </c>
      <c r="O178">
        <v>116013.79</v>
      </c>
      <c r="P178" t="s">
        <v>24</v>
      </c>
      <c r="Q178" t="s">
        <v>25</v>
      </c>
    </row>
    <row r="179" spans="1:17" x14ac:dyDescent="0.25">
      <c r="A179">
        <v>278</v>
      </c>
      <c r="B179" t="s">
        <v>109</v>
      </c>
      <c r="C179" t="s">
        <v>68</v>
      </c>
      <c r="D179" t="s">
        <v>76</v>
      </c>
      <c r="E179" t="s">
        <v>101</v>
      </c>
      <c r="F179">
        <v>5</v>
      </c>
      <c r="G179">
        <v>58386</v>
      </c>
      <c r="H179" t="s">
        <v>243</v>
      </c>
      <c r="J179">
        <v>0</v>
      </c>
      <c r="K179" t="s">
        <v>54</v>
      </c>
      <c r="L179" t="s">
        <v>55</v>
      </c>
      <c r="M179" t="s">
        <v>100</v>
      </c>
      <c r="N179">
        <v>291930</v>
      </c>
      <c r="O179">
        <v>65727.13</v>
      </c>
      <c r="P179" t="s">
        <v>65</v>
      </c>
      <c r="Q179" t="s">
        <v>75</v>
      </c>
    </row>
    <row r="180" spans="1:17" x14ac:dyDescent="0.25">
      <c r="A180">
        <v>279</v>
      </c>
      <c r="B180" t="s">
        <v>67</v>
      </c>
      <c r="C180" t="s">
        <v>35</v>
      </c>
      <c r="D180" t="s">
        <v>69</v>
      </c>
      <c r="E180" t="s">
        <v>98</v>
      </c>
      <c r="F180">
        <v>9</v>
      </c>
      <c r="G180">
        <v>65801</v>
      </c>
      <c r="H180" t="s">
        <v>244</v>
      </c>
      <c r="J180">
        <v>0</v>
      </c>
      <c r="K180" t="s">
        <v>74</v>
      </c>
      <c r="L180" t="s">
        <v>31</v>
      </c>
      <c r="M180" t="s">
        <v>32</v>
      </c>
      <c r="N180">
        <v>592209</v>
      </c>
      <c r="O180">
        <v>157279.06</v>
      </c>
      <c r="P180" t="s">
        <v>24</v>
      </c>
      <c r="Q180" t="s">
        <v>75</v>
      </c>
    </row>
    <row r="181" spans="1:17" x14ac:dyDescent="0.25">
      <c r="A181">
        <v>280</v>
      </c>
      <c r="B181" t="s">
        <v>79</v>
      </c>
      <c r="C181" t="s">
        <v>35</v>
      </c>
      <c r="D181" t="s">
        <v>69</v>
      </c>
      <c r="E181" t="s">
        <v>121</v>
      </c>
      <c r="F181">
        <v>10</v>
      </c>
      <c r="G181">
        <v>33855</v>
      </c>
      <c r="H181" t="s">
        <v>245</v>
      </c>
      <c r="J181">
        <v>0</v>
      </c>
      <c r="K181" t="s">
        <v>58</v>
      </c>
      <c r="L181" t="s">
        <v>55</v>
      </c>
      <c r="M181" t="s">
        <v>39</v>
      </c>
      <c r="N181">
        <v>338550</v>
      </c>
      <c r="O181">
        <v>79448.12</v>
      </c>
      <c r="P181" t="s">
        <v>24</v>
      </c>
      <c r="Q181" t="s">
        <v>75</v>
      </c>
    </row>
    <row r="182" spans="1:17" x14ac:dyDescent="0.25">
      <c r="A182">
        <v>281</v>
      </c>
      <c r="B182" t="s">
        <v>91</v>
      </c>
      <c r="C182" t="s">
        <v>17</v>
      </c>
      <c r="D182" t="s">
        <v>28</v>
      </c>
      <c r="E182" t="s">
        <v>29</v>
      </c>
      <c r="F182">
        <v>4</v>
      </c>
      <c r="G182">
        <v>7845</v>
      </c>
      <c r="H182" t="s">
        <v>241</v>
      </c>
      <c r="J182">
        <v>15</v>
      </c>
      <c r="K182" t="s">
        <v>38</v>
      </c>
      <c r="L182" t="s">
        <v>55</v>
      </c>
      <c r="M182" t="s">
        <v>39</v>
      </c>
      <c r="N182">
        <v>26673</v>
      </c>
      <c r="O182">
        <v>2307.0700000000002</v>
      </c>
      <c r="P182" t="s">
        <v>24</v>
      </c>
      <c r="Q182" t="s">
        <v>75</v>
      </c>
    </row>
    <row r="183" spans="1:17" x14ac:dyDescent="0.25">
      <c r="A183">
        <v>282</v>
      </c>
      <c r="B183" t="s">
        <v>91</v>
      </c>
      <c r="C183" t="s">
        <v>17</v>
      </c>
      <c r="D183" t="s">
        <v>69</v>
      </c>
      <c r="E183" t="s">
        <v>70</v>
      </c>
      <c r="F183">
        <v>4</v>
      </c>
      <c r="G183">
        <v>2287</v>
      </c>
      <c r="H183" t="s">
        <v>246</v>
      </c>
      <c r="J183">
        <v>5</v>
      </c>
      <c r="K183" t="s">
        <v>54</v>
      </c>
      <c r="L183" t="s">
        <v>46</v>
      </c>
      <c r="M183" t="s">
        <v>50</v>
      </c>
      <c r="N183">
        <v>8690.6</v>
      </c>
      <c r="O183">
        <v>1323.07</v>
      </c>
      <c r="P183" t="s">
        <v>40</v>
      </c>
      <c r="Q183" t="s">
        <v>56</v>
      </c>
    </row>
    <row r="184" spans="1:17" x14ac:dyDescent="0.25">
      <c r="A184">
        <v>283</v>
      </c>
      <c r="B184" t="s">
        <v>67</v>
      </c>
      <c r="C184" t="s">
        <v>35</v>
      </c>
      <c r="D184" t="s">
        <v>76</v>
      </c>
      <c r="E184" t="s">
        <v>101</v>
      </c>
      <c r="F184">
        <v>1</v>
      </c>
      <c r="G184">
        <v>39384</v>
      </c>
      <c r="H184" t="s">
        <v>247</v>
      </c>
      <c r="J184">
        <v>15</v>
      </c>
      <c r="K184" t="s">
        <v>54</v>
      </c>
      <c r="L184" t="s">
        <v>55</v>
      </c>
      <c r="M184" t="s">
        <v>39</v>
      </c>
      <c r="N184">
        <v>33476.400000000001</v>
      </c>
      <c r="O184">
        <v>7958.66</v>
      </c>
      <c r="P184" t="s">
        <v>33</v>
      </c>
      <c r="Q184" t="s">
        <v>25</v>
      </c>
    </row>
    <row r="185" spans="1:17" x14ac:dyDescent="0.25">
      <c r="A185">
        <v>284</v>
      </c>
      <c r="B185" t="s">
        <v>16</v>
      </c>
      <c r="C185" t="s">
        <v>27</v>
      </c>
      <c r="D185" t="s">
        <v>18</v>
      </c>
      <c r="E185" t="s">
        <v>72</v>
      </c>
      <c r="F185">
        <v>6</v>
      </c>
      <c r="G185">
        <v>42842</v>
      </c>
      <c r="H185" t="s">
        <v>248</v>
      </c>
      <c r="J185">
        <v>5</v>
      </c>
      <c r="K185" t="s">
        <v>21</v>
      </c>
      <c r="L185" t="s">
        <v>55</v>
      </c>
      <c r="M185" t="s">
        <v>100</v>
      </c>
      <c r="N185">
        <v>244199.4</v>
      </c>
      <c r="O185">
        <v>69883.41</v>
      </c>
      <c r="P185" t="s">
        <v>33</v>
      </c>
      <c r="Q185" t="s">
        <v>56</v>
      </c>
    </row>
    <row r="186" spans="1:17" x14ac:dyDescent="0.25">
      <c r="A186">
        <v>285</v>
      </c>
      <c r="B186" t="s">
        <v>109</v>
      </c>
      <c r="C186" t="s">
        <v>68</v>
      </c>
      <c r="D186" t="s">
        <v>76</v>
      </c>
      <c r="E186" t="s">
        <v>77</v>
      </c>
      <c r="F186">
        <v>3</v>
      </c>
      <c r="G186">
        <v>32597</v>
      </c>
      <c r="H186" t="s">
        <v>249</v>
      </c>
      <c r="J186">
        <v>10</v>
      </c>
      <c r="K186" t="s">
        <v>58</v>
      </c>
      <c r="L186" t="s">
        <v>22</v>
      </c>
      <c r="M186" t="s">
        <v>64</v>
      </c>
      <c r="N186">
        <v>88011.9</v>
      </c>
      <c r="O186">
        <v>8751.84</v>
      </c>
      <c r="P186" t="s">
        <v>24</v>
      </c>
      <c r="Q186" t="s">
        <v>25</v>
      </c>
    </row>
    <row r="187" spans="1:17" x14ac:dyDescent="0.25">
      <c r="A187">
        <v>286</v>
      </c>
      <c r="B187" t="s">
        <v>109</v>
      </c>
      <c r="C187" t="s">
        <v>35</v>
      </c>
      <c r="D187" t="s">
        <v>18</v>
      </c>
      <c r="E187" t="s">
        <v>62</v>
      </c>
      <c r="F187">
        <v>9</v>
      </c>
      <c r="G187">
        <v>5966</v>
      </c>
      <c r="H187" t="s">
        <v>250</v>
      </c>
      <c r="J187">
        <v>15</v>
      </c>
      <c r="K187" t="s">
        <v>54</v>
      </c>
      <c r="L187" t="s">
        <v>31</v>
      </c>
      <c r="M187" t="s">
        <v>64</v>
      </c>
      <c r="N187">
        <v>45639.9</v>
      </c>
      <c r="O187">
        <v>6723.95</v>
      </c>
      <c r="P187" t="s">
        <v>65</v>
      </c>
      <c r="Q187" t="s">
        <v>75</v>
      </c>
    </row>
    <row r="188" spans="1:17" x14ac:dyDescent="0.25">
      <c r="A188">
        <v>287</v>
      </c>
      <c r="B188" t="s">
        <v>109</v>
      </c>
      <c r="C188" t="s">
        <v>17</v>
      </c>
      <c r="D188" t="s">
        <v>28</v>
      </c>
      <c r="E188" t="s">
        <v>48</v>
      </c>
      <c r="F188">
        <v>10</v>
      </c>
      <c r="G188">
        <v>34512</v>
      </c>
      <c r="H188" t="s">
        <v>251</v>
      </c>
      <c r="J188">
        <v>10</v>
      </c>
      <c r="K188" t="s">
        <v>58</v>
      </c>
      <c r="L188" t="s">
        <v>31</v>
      </c>
      <c r="M188" t="s">
        <v>47</v>
      </c>
      <c r="N188">
        <v>310608</v>
      </c>
      <c r="O188">
        <v>26284.21</v>
      </c>
      <c r="P188" t="s">
        <v>40</v>
      </c>
      <c r="Q188" t="s">
        <v>75</v>
      </c>
    </row>
    <row r="189" spans="1:17" x14ac:dyDescent="0.25">
      <c r="A189">
        <v>288</v>
      </c>
      <c r="B189" t="s">
        <v>26</v>
      </c>
      <c r="C189" t="s">
        <v>68</v>
      </c>
      <c r="D189" t="s">
        <v>18</v>
      </c>
      <c r="E189" t="s">
        <v>62</v>
      </c>
      <c r="F189">
        <v>7</v>
      </c>
      <c r="G189">
        <v>21610</v>
      </c>
      <c r="H189" t="s">
        <v>249</v>
      </c>
      <c r="J189">
        <v>15</v>
      </c>
      <c r="K189" t="s">
        <v>45</v>
      </c>
      <c r="L189" t="s">
        <v>46</v>
      </c>
      <c r="M189" t="s">
        <v>100</v>
      </c>
      <c r="N189">
        <v>128579.5</v>
      </c>
      <c r="O189">
        <v>26814.55</v>
      </c>
      <c r="P189" t="s">
        <v>40</v>
      </c>
      <c r="Q189" t="s">
        <v>25</v>
      </c>
    </row>
    <row r="190" spans="1:17" x14ac:dyDescent="0.25">
      <c r="A190">
        <v>289</v>
      </c>
      <c r="B190" t="s">
        <v>16</v>
      </c>
      <c r="C190" t="s">
        <v>35</v>
      </c>
      <c r="D190" t="s">
        <v>42</v>
      </c>
      <c r="E190" t="s">
        <v>59</v>
      </c>
      <c r="F190">
        <v>10</v>
      </c>
      <c r="G190">
        <v>23627</v>
      </c>
      <c r="H190" t="s">
        <v>252</v>
      </c>
      <c r="J190">
        <v>20</v>
      </c>
      <c r="K190" t="s">
        <v>54</v>
      </c>
      <c r="L190" t="s">
        <v>55</v>
      </c>
      <c r="M190" t="s">
        <v>23</v>
      </c>
      <c r="N190">
        <v>189016</v>
      </c>
      <c r="O190">
        <v>21875.39</v>
      </c>
      <c r="P190" t="s">
        <v>40</v>
      </c>
      <c r="Q190" t="s">
        <v>75</v>
      </c>
    </row>
    <row r="191" spans="1:17" x14ac:dyDescent="0.25">
      <c r="A191">
        <v>290</v>
      </c>
      <c r="B191" t="s">
        <v>96</v>
      </c>
      <c r="C191" t="s">
        <v>27</v>
      </c>
      <c r="D191" t="s">
        <v>42</v>
      </c>
      <c r="E191" t="s">
        <v>59</v>
      </c>
      <c r="F191">
        <v>4</v>
      </c>
      <c r="G191">
        <v>19368</v>
      </c>
      <c r="H191" t="s">
        <v>253</v>
      </c>
      <c r="J191">
        <v>20</v>
      </c>
      <c r="K191" t="s">
        <v>21</v>
      </c>
      <c r="L191" t="s">
        <v>31</v>
      </c>
      <c r="M191" t="s">
        <v>50</v>
      </c>
      <c r="N191">
        <v>61977.599999999999</v>
      </c>
      <c r="O191">
        <v>18003.96</v>
      </c>
      <c r="P191" t="s">
        <v>65</v>
      </c>
      <c r="Q191" t="s">
        <v>25</v>
      </c>
    </row>
    <row r="192" spans="1:17" x14ac:dyDescent="0.25">
      <c r="A192">
        <v>291</v>
      </c>
      <c r="B192" t="s">
        <v>61</v>
      </c>
      <c r="C192" t="s">
        <v>68</v>
      </c>
      <c r="D192" t="s">
        <v>76</v>
      </c>
      <c r="E192" t="s">
        <v>77</v>
      </c>
      <c r="F192">
        <v>3</v>
      </c>
      <c r="G192">
        <v>7821</v>
      </c>
      <c r="H192" t="s">
        <v>254</v>
      </c>
      <c r="J192">
        <v>15</v>
      </c>
      <c r="K192" t="s">
        <v>45</v>
      </c>
      <c r="L192" t="s">
        <v>55</v>
      </c>
      <c r="M192" t="s">
        <v>39</v>
      </c>
      <c r="N192">
        <v>19943.55</v>
      </c>
      <c r="O192">
        <v>4892.1400000000003</v>
      </c>
      <c r="P192" t="s">
        <v>65</v>
      </c>
      <c r="Q192" t="s">
        <v>56</v>
      </c>
    </row>
    <row r="193" spans="1:17" x14ac:dyDescent="0.25">
      <c r="A193">
        <v>292</v>
      </c>
      <c r="B193" t="s">
        <v>107</v>
      </c>
      <c r="C193" t="s">
        <v>68</v>
      </c>
      <c r="D193" t="s">
        <v>42</v>
      </c>
      <c r="E193" t="s">
        <v>52</v>
      </c>
      <c r="F193">
        <v>2</v>
      </c>
      <c r="G193">
        <v>42166</v>
      </c>
      <c r="H193" t="s">
        <v>135</v>
      </c>
      <c r="J193">
        <v>5</v>
      </c>
      <c r="K193" t="s">
        <v>45</v>
      </c>
      <c r="L193" t="s">
        <v>55</v>
      </c>
      <c r="M193" t="s">
        <v>100</v>
      </c>
      <c r="N193">
        <v>80115.399999999994</v>
      </c>
      <c r="O193">
        <v>12237.38</v>
      </c>
      <c r="P193" t="s">
        <v>24</v>
      </c>
      <c r="Q193" t="s">
        <v>75</v>
      </c>
    </row>
    <row r="194" spans="1:17" x14ac:dyDescent="0.25">
      <c r="A194">
        <v>293</v>
      </c>
      <c r="B194" t="s">
        <v>94</v>
      </c>
      <c r="C194" t="s">
        <v>27</v>
      </c>
      <c r="D194" t="s">
        <v>42</v>
      </c>
      <c r="E194" t="s">
        <v>52</v>
      </c>
      <c r="F194">
        <v>10</v>
      </c>
      <c r="G194">
        <v>1730</v>
      </c>
      <c r="H194" t="s">
        <v>255</v>
      </c>
      <c r="J194">
        <v>15</v>
      </c>
      <c r="K194" t="s">
        <v>74</v>
      </c>
      <c r="L194" t="s">
        <v>46</v>
      </c>
      <c r="M194" t="s">
        <v>47</v>
      </c>
      <c r="N194">
        <v>14705</v>
      </c>
      <c r="O194">
        <v>2810.67</v>
      </c>
      <c r="P194" t="s">
        <v>33</v>
      </c>
      <c r="Q194" t="s">
        <v>75</v>
      </c>
    </row>
    <row r="195" spans="1:17" x14ac:dyDescent="0.25">
      <c r="A195">
        <v>294</v>
      </c>
      <c r="B195" t="s">
        <v>115</v>
      </c>
      <c r="C195" t="s">
        <v>68</v>
      </c>
      <c r="D195" t="s">
        <v>42</v>
      </c>
      <c r="E195" t="s">
        <v>52</v>
      </c>
      <c r="F195">
        <v>10</v>
      </c>
      <c r="G195">
        <v>12209</v>
      </c>
      <c r="H195" t="s">
        <v>175</v>
      </c>
      <c r="J195">
        <v>0</v>
      </c>
      <c r="K195" t="s">
        <v>38</v>
      </c>
      <c r="L195" t="s">
        <v>46</v>
      </c>
      <c r="M195" t="s">
        <v>50</v>
      </c>
      <c r="N195">
        <v>122090</v>
      </c>
      <c r="O195">
        <v>17250.87</v>
      </c>
      <c r="P195" t="s">
        <v>65</v>
      </c>
      <c r="Q195" t="s">
        <v>75</v>
      </c>
    </row>
    <row r="196" spans="1:17" x14ac:dyDescent="0.25">
      <c r="A196">
        <v>295</v>
      </c>
      <c r="B196" t="s">
        <v>107</v>
      </c>
      <c r="C196" t="s">
        <v>17</v>
      </c>
      <c r="D196" t="s">
        <v>42</v>
      </c>
      <c r="E196" t="s">
        <v>43</v>
      </c>
      <c r="F196">
        <v>2</v>
      </c>
      <c r="G196">
        <v>45930</v>
      </c>
      <c r="H196" t="s">
        <v>256</v>
      </c>
      <c r="J196">
        <v>5</v>
      </c>
      <c r="K196" t="s">
        <v>58</v>
      </c>
      <c r="L196" t="s">
        <v>46</v>
      </c>
      <c r="M196" t="s">
        <v>50</v>
      </c>
      <c r="N196">
        <v>87267</v>
      </c>
      <c r="O196">
        <v>7021.85</v>
      </c>
      <c r="P196" t="s">
        <v>65</v>
      </c>
      <c r="Q196" t="s">
        <v>56</v>
      </c>
    </row>
    <row r="197" spans="1:17" x14ac:dyDescent="0.25">
      <c r="A197">
        <v>296</v>
      </c>
      <c r="B197" t="s">
        <v>94</v>
      </c>
      <c r="C197" t="s">
        <v>68</v>
      </c>
      <c r="D197" t="s">
        <v>18</v>
      </c>
      <c r="E197" t="s">
        <v>36</v>
      </c>
      <c r="F197">
        <v>4</v>
      </c>
      <c r="G197">
        <v>43620</v>
      </c>
      <c r="H197" t="s">
        <v>257</v>
      </c>
      <c r="J197">
        <v>0</v>
      </c>
      <c r="K197" t="s">
        <v>45</v>
      </c>
      <c r="L197" t="s">
        <v>55</v>
      </c>
      <c r="M197" t="s">
        <v>23</v>
      </c>
      <c r="N197">
        <v>174480</v>
      </c>
      <c r="O197">
        <v>49443.49</v>
      </c>
      <c r="P197" t="s">
        <v>33</v>
      </c>
      <c r="Q197" t="s">
        <v>56</v>
      </c>
    </row>
    <row r="198" spans="1:17" x14ac:dyDescent="0.25">
      <c r="A198">
        <v>297</v>
      </c>
      <c r="B198" t="s">
        <v>51</v>
      </c>
      <c r="C198" t="s">
        <v>27</v>
      </c>
      <c r="D198" t="s">
        <v>69</v>
      </c>
      <c r="E198" t="s">
        <v>98</v>
      </c>
      <c r="F198">
        <v>4</v>
      </c>
      <c r="G198">
        <v>53235</v>
      </c>
      <c r="H198" t="s">
        <v>258</v>
      </c>
      <c r="J198">
        <v>10</v>
      </c>
      <c r="K198" t="s">
        <v>21</v>
      </c>
      <c r="L198" t="s">
        <v>22</v>
      </c>
      <c r="M198" t="s">
        <v>32</v>
      </c>
      <c r="N198">
        <v>191646</v>
      </c>
      <c r="O198">
        <v>46938.44</v>
      </c>
      <c r="P198" t="s">
        <v>65</v>
      </c>
      <c r="Q198" t="s">
        <v>56</v>
      </c>
    </row>
    <row r="199" spans="1:17" x14ac:dyDescent="0.25">
      <c r="A199">
        <v>298</v>
      </c>
      <c r="B199" t="s">
        <v>41</v>
      </c>
      <c r="C199" t="s">
        <v>27</v>
      </c>
      <c r="D199" t="s">
        <v>69</v>
      </c>
      <c r="E199" t="s">
        <v>121</v>
      </c>
      <c r="F199">
        <v>7</v>
      </c>
      <c r="G199">
        <v>24561</v>
      </c>
      <c r="H199" t="s">
        <v>259</v>
      </c>
      <c r="J199">
        <v>10</v>
      </c>
      <c r="K199" t="s">
        <v>54</v>
      </c>
      <c r="L199" t="s">
        <v>46</v>
      </c>
      <c r="M199" t="s">
        <v>81</v>
      </c>
      <c r="N199">
        <v>154734.29999999999</v>
      </c>
      <c r="O199">
        <v>42676.93</v>
      </c>
      <c r="P199" t="s">
        <v>40</v>
      </c>
      <c r="Q199" t="s">
        <v>56</v>
      </c>
    </row>
    <row r="200" spans="1:17" x14ac:dyDescent="0.25">
      <c r="A200">
        <v>299</v>
      </c>
      <c r="B200" t="s">
        <v>26</v>
      </c>
      <c r="C200" t="s">
        <v>68</v>
      </c>
      <c r="D200" t="s">
        <v>28</v>
      </c>
      <c r="E200" t="s">
        <v>48</v>
      </c>
      <c r="F200">
        <v>7</v>
      </c>
      <c r="G200">
        <v>44296</v>
      </c>
      <c r="H200" t="s">
        <v>260</v>
      </c>
      <c r="J200">
        <v>5</v>
      </c>
      <c r="K200" t="s">
        <v>38</v>
      </c>
      <c r="L200" t="s">
        <v>22</v>
      </c>
      <c r="M200" t="s">
        <v>47</v>
      </c>
      <c r="N200">
        <v>294568.40000000002</v>
      </c>
      <c r="O200">
        <v>30382.98</v>
      </c>
      <c r="P200" t="s">
        <v>65</v>
      </c>
      <c r="Q200" t="s">
        <v>56</v>
      </c>
    </row>
    <row r="201" spans="1:17" x14ac:dyDescent="0.25">
      <c r="A201">
        <v>300</v>
      </c>
      <c r="B201" t="s">
        <v>41</v>
      </c>
      <c r="C201" t="s">
        <v>17</v>
      </c>
      <c r="D201" t="s">
        <v>76</v>
      </c>
      <c r="E201" t="s">
        <v>92</v>
      </c>
      <c r="F201">
        <v>1</v>
      </c>
      <c r="G201">
        <v>29233</v>
      </c>
      <c r="H201" t="s">
        <v>194</v>
      </c>
      <c r="J201">
        <v>15</v>
      </c>
      <c r="K201" t="s">
        <v>54</v>
      </c>
      <c r="L201" t="s">
        <v>55</v>
      </c>
      <c r="M201" t="s">
        <v>23</v>
      </c>
      <c r="N201">
        <v>24848.05</v>
      </c>
      <c r="O201">
        <v>4444.1400000000003</v>
      </c>
      <c r="P201" t="s">
        <v>33</v>
      </c>
      <c r="Q201" t="s">
        <v>25</v>
      </c>
    </row>
    <row r="202" spans="1:17" x14ac:dyDescent="0.25">
      <c r="A202">
        <v>301</v>
      </c>
      <c r="B202" t="s">
        <v>16</v>
      </c>
      <c r="C202" t="s">
        <v>17</v>
      </c>
      <c r="D202" t="s">
        <v>18</v>
      </c>
      <c r="E202" t="s">
        <v>36</v>
      </c>
      <c r="F202">
        <v>5</v>
      </c>
      <c r="G202">
        <v>51435</v>
      </c>
      <c r="H202" t="s">
        <v>261</v>
      </c>
      <c r="J202">
        <v>15</v>
      </c>
      <c r="K202" t="s">
        <v>74</v>
      </c>
      <c r="L202" t="s">
        <v>22</v>
      </c>
      <c r="M202" t="s">
        <v>39</v>
      </c>
      <c r="N202">
        <v>218598.75</v>
      </c>
      <c r="O202">
        <v>60743.13</v>
      </c>
      <c r="P202" t="s">
        <v>33</v>
      </c>
      <c r="Q202" t="s">
        <v>75</v>
      </c>
    </row>
    <row r="203" spans="1:17" x14ac:dyDescent="0.25">
      <c r="A203">
        <v>302</v>
      </c>
      <c r="B203" t="s">
        <v>41</v>
      </c>
      <c r="C203" t="s">
        <v>68</v>
      </c>
      <c r="D203" t="s">
        <v>76</v>
      </c>
      <c r="E203" t="s">
        <v>77</v>
      </c>
      <c r="F203">
        <v>4</v>
      </c>
      <c r="G203">
        <v>20305</v>
      </c>
      <c r="H203" t="s">
        <v>262</v>
      </c>
      <c r="J203">
        <v>0</v>
      </c>
      <c r="K203" t="s">
        <v>58</v>
      </c>
      <c r="L203" t="s">
        <v>22</v>
      </c>
      <c r="M203" t="s">
        <v>64</v>
      </c>
      <c r="N203">
        <v>81220</v>
      </c>
      <c r="O203">
        <v>19012.72</v>
      </c>
      <c r="P203" t="s">
        <v>40</v>
      </c>
      <c r="Q203" t="s">
        <v>56</v>
      </c>
    </row>
    <row r="204" spans="1:17" x14ac:dyDescent="0.25">
      <c r="A204">
        <v>303</v>
      </c>
      <c r="B204" t="s">
        <v>96</v>
      </c>
      <c r="C204" t="s">
        <v>68</v>
      </c>
      <c r="D204" t="s">
        <v>18</v>
      </c>
      <c r="E204" t="s">
        <v>72</v>
      </c>
      <c r="F204">
        <v>10</v>
      </c>
      <c r="G204">
        <v>68988</v>
      </c>
      <c r="H204" t="s">
        <v>263</v>
      </c>
      <c r="J204">
        <v>20</v>
      </c>
      <c r="K204" t="s">
        <v>54</v>
      </c>
      <c r="L204" t="s">
        <v>31</v>
      </c>
      <c r="M204" t="s">
        <v>64</v>
      </c>
      <c r="N204">
        <v>551904</v>
      </c>
      <c r="O204">
        <v>162906.65</v>
      </c>
      <c r="P204" t="s">
        <v>33</v>
      </c>
      <c r="Q204" t="s">
        <v>75</v>
      </c>
    </row>
    <row r="205" spans="1:17" x14ac:dyDescent="0.25">
      <c r="A205">
        <v>304</v>
      </c>
      <c r="B205" t="s">
        <v>96</v>
      </c>
      <c r="C205" t="s">
        <v>35</v>
      </c>
      <c r="D205" t="s">
        <v>69</v>
      </c>
      <c r="E205" t="s">
        <v>70</v>
      </c>
      <c r="F205">
        <v>5</v>
      </c>
      <c r="G205">
        <v>54245</v>
      </c>
      <c r="H205" t="s">
        <v>264</v>
      </c>
      <c r="J205">
        <v>5</v>
      </c>
      <c r="K205" t="s">
        <v>54</v>
      </c>
      <c r="L205" t="s">
        <v>22</v>
      </c>
      <c r="M205" t="s">
        <v>39</v>
      </c>
      <c r="N205">
        <v>257663.75</v>
      </c>
      <c r="O205">
        <v>47149.01</v>
      </c>
      <c r="P205" t="s">
        <v>24</v>
      </c>
      <c r="Q205" t="s">
        <v>56</v>
      </c>
    </row>
    <row r="206" spans="1:17" x14ac:dyDescent="0.25">
      <c r="A206">
        <v>305</v>
      </c>
      <c r="B206" t="s">
        <v>107</v>
      </c>
      <c r="C206" t="s">
        <v>17</v>
      </c>
      <c r="D206" t="s">
        <v>28</v>
      </c>
      <c r="E206" t="s">
        <v>48</v>
      </c>
      <c r="F206">
        <v>10</v>
      </c>
      <c r="G206">
        <v>26859</v>
      </c>
      <c r="H206" t="s">
        <v>265</v>
      </c>
      <c r="J206">
        <v>15</v>
      </c>
      <c r="K206" t="s">
        <v>54</v>
      </c>
      <c r="L206" t="s">
        <v>22</v>
      </c>
      <c r="M206" t="s">
        <v>47</v>
      </c>
      <c r="N206">
        <v>228301.5</v>
      </c>
      <c r="O206">
        <v>31788.76</v>
      </c>
      <c r="P206" t="s">
        <v>65</v>
      </c>
      <c r="Q206" t="s">
        <v>56</v>
      </c>
    </row>
    <row r="207" spans="1:17" x14ac:dyDescent="0.25">
      <c r="A207">
        <v>306</v>
      </c>
      <c r="B207" t="s">
        <v>107</v>
      </c>
      <c r="C207" t="s">
        <v>27</v>
      </c>
      <c r="D207" t="s">
        <v>18</v>
      </c>
      <c r="E207" t="s">
        <v>72</v>
      </c>
      <c r="F207">
        <v>10</v>
      </c>
      <c r="G207">
        <v>60105</v>
      </c>
      <c r="H207" t="s">
        <v>266</v>
      </c>
      <c r="J207">
        <v>20</v>
      </c>
      <c r="K207" t="s">
        <v>58</v>
      </c>
      <c r="L207" t="s">
        <v>55</v>
      </c>
      <c r="M207" t="s">
        <v>39</v>
      </c>
      <c r="N207">
        <v>480840</v>
      </c>
      <c r="O207">
        <v>82282.210000000006</v>
      </c>
      <c r="P207" t="s">
        <v>65</v>
      </c>
      <c r="Q207" t="s">
        <v>75</v>
      </c>
    </row>
    <row r="208" spans="1:17" x14ac:dyDescent="0.25">
      <c r="A208">
        <v>307</v>
      </c>
      <c r="B208" t="s">
        <v>115</v>
      </c>
      <c r="C208" t="s">
        <v>17</v>
      </c>
      <c r="D208" t="s">
        <v>18</v>
      </c>
      <c r="E208" t="s">
        <v>19</v>
      </c>
      <c r="F208">
        <v>4</v>
      </c>
      <c r="G208">
        <v>36866</v>
      </c>
      <c r="H208" t="s">
        <v>267</v>
      </c>
      <c r="J208">
        <v>10</v>
      </c>
      <c r="K208" t="s">
        <v>38</v>
      </c>
      <c r="L208" t="s">
        <v>22</v>
      </c>
      <c r="M208" t="s">
        <v>39</v>
      </c>
      <c r="N208">
        <v>132717.6</v>
      </c>
      <c r="O208">
        <v>27222.11</v>
      </c>
      <c r="P208" t="s">
        <v>40</v>
      </c>
      <c r="Q208" t="s">
        <v>56</v>
      </c>
    </row>
    <row r="209" spans="1:17" x14ac:dyDescent="0.25">
      <c r="A209">
        <v>308</v>
      </c>
      <c r="B209" t="s">
        <v>84</v>
      </c>
      <c r="C209" t="s">
        <v>68</v>
      </c>
      <c r="D209" t="s">
        <v>76</v>
      </c>
      <c r="E209" t="s">
        <v>77</v>
      </c>
      <c r="F209">
        <v>7</v>
      </c>
      <c r="G209">
        <v>31783</v>
      </c>
      <c r="H209" t="s">
        <v>268</v>
      </c>
      <c r="J209">
        <v>10</v>
      </c>
      <c r="K209" t="s">
        <v>45</v>
      </c>
      <c r="L209" t="s">
        <v>22</v>
      </c>
      <c r="M209" t="s">
        <v>81</v>
      </c>
      <c r="N209">
        <v>200232.9</v>
      </c>
      <c r="O209">
        <v>46656.54</v>
      </c>
      <c r="P209" t="s">
        <v>24</v>
      </c>
      <c r="Q209" t="s">
        <v>56</v>
      </c>
    </row>
    <row r="210" spans="1:17" x14ac:dyDescent="0.25">
      <c r="A210">
        <v>309</v>
      </c>
      <c r="B210" t="s">
        <v>109</v>
      </c>
      <c r="C210" t="s">
        <v>35</v>
      </c>
      <c r="D210" t="s">
        <v>18</v>
      </c>
      <c r="E210" t="s">
        <v>19</v>
      </c>
      <c r="F210">
        <v>3</v>
      </c>
      <c r="G210">
        <v>70028</v>
      </c>
      <c r="H210" t="s">
        <v>262</v>
      </c>
      <c r="J210">
        <v>0</v>
      </c>
      <c r="K210" t="s">
        <v>38</v>
      </c>
      <c r="L210" t="s">
        <v>31</v>
      </c>
      <c r="M210" t="s">
        <v>81</v>
      </c>
      <c r="N210">
        <v>210084</v>
      </c>
      <c r="O210">
        <v>54500.34</v>
      </c>
      <c r="P210" t="s">
        <v>40</v>
      </c>
      <c r="Q210" t="s">
        <v>25</v>
      </c>
    </row>
    <row r="211" spans="1:17" x14ac:dyDescent="0.25">
      <c r="A211">
        <v>310</v>
      </c>
      <c r="B211" t="s">
        <v>91</v>
      </c>
      <c r="C211" t="s">
        <v>17</v>
      </c>
      <c r="D211" t="s">
        <v>18</v>
      </c>
      <c r="E211" t="s">
        <v>36</v>
      </c>
      <c r="F211">
        <v>8</v>
      </c>
      <c r="G211">
        <v>12284</v>
      </c>
      <c r="H211" t="s">
        <v>269</v>
      </c>
      <c r="J211">
        <v>5</v>
      </c>
      <c r="K211" t="s">
        <v>38</v>
      </c>
      <c r="L211" t="s">
        <v>22</v>
      </c>
      <c r="M211" t="s">
        <v>81</v>
      </c>
      <c r="N211">
        <v>93358.399999999994</v>
      </c>
      <c r="O211">
        <v>24056.1</v>
      </c>
      <c r="P211" t="s">
        <v>33</v>
      </c>
      <c r="Q211" t="s">
        <v>25</v>
      </c>
    </row>
    <row r="212" spans="1:17" x14ac:dyDescent="0.25">
      <c r="A212">
        <v>311</v>
      </c>
      <c r="B212" t="s">
        <v>16</v>
      </c>
      <c r="C212" t="s">
        <v>17</v>
      </c>
      <c r="D212" t="s">
        <v>69</v>
      </c>
      <c r="E212" t="s">
        <v>121</v>
      </c>
      <c r="F212">
        <v>5</v>
      </c>
      <c r="G212">
        <v>8591</v>
      </c>
      <c r="H212" t="s">
        <v>270</v>
      </c>
      <c r="J212">
        <v>0</v>
      </c>
      <c r="K212" t="s">
        <v>58</v>
      </c>
      <c r="L212" t="s">
        <v>31</v>
      </c>
      <c r="M212" t="s">
        <v>100</v>
      </c>
      <c r="N212">
        <v>42955</v>
      </c>
      <c r="O212">
        <v>6489.38</v>
      </c>
      <c r="P212" t="s">
        <v>24</v>
      </c>
      <c r="Q212" t="s">
        <v>25</v>
      </c>
    </row>
    <row r="213" spans="1:17" x14ac:dyDescent="0.25">
      <c r="A213">
        <v>312</v>
      </c>
      <c r="B213" t="s">
        <v>94</v>
      </c>
      <c r="C213" t="s">
        <v>17</v>
      </c>
      <c r="D213" t="s">
        <v>76</v>
      </c>
      <c r="E213" t="s">
        <v>77</v>
      </c>
      <c r="F213">
        <v>2</v>
      </c>
      <c r="G213">
        <v>16532</v>
      </c>
      <c r="H213" t="s">
        <v>271</v>
      </c>
      <c r="J213">
        <v>5</v>
      </c>
      <c r="K213" t="s">
        <v>21</v>
      </c>
      <c r="L213" t="s">
        <v>55</v>
      </c>
      <c r="M213" t="s">
        <v>32</v>
      </c>
      <c r="N213">
        <v>31410.799999999999</v>
      </c>
      <c r="O213">
        <v>8011.63</v>
      </c>
      <c r="P213" t="s">
        <v>40</v>
      </c>
      <c r="Q213" t="s">
        <v>56</v>
      </c>
    </row>
    <row r="214" spans="1:17" x14ac:dyDescent="0.25">
      <c r="A214">
        <v>313</v>
      </c>
      <c r="B214" t="s">
        <v>115</v>
      </c>
      <c r="C214" t="s">
        <v>68</v>
      </c>
      <c r="D214" t="s">
        <v>28</v>
      </c>
      <c r="E214" t="s">
        <v>48</v>
      </c>
      <c r="F214">
        <v>3</v>
      </c>
      <c r="G214">
        <v>15199</v>
      </c>
      <c r="H214" t="s">
        <v>272</v>
      </c>
      <c r="J214">
        <v>15</v>
      </c>
      <c r="K214" t="s">
        <v>21</v>
      </c>
      <c r="L214" t="s">
        <v>22</v>
      </c>
      <c r="M214" t="s">
        <v>100</v>
      </c>
      <c r="N214">
        <v>38757.449999999997</v>
      </c>
      <c r="O214">
        <v>9458.76</v>
      </c>
      <c r="P214" t="s">
        <v>65</v>
      </c>
      <c r="Q214" t="s">
        <v>56</v>
      </c>
    </row>
    <row r="215" spans="1:17" x14ac:dyDescent="0.25">
      <c r="A215">
        <v>314</v>
      </c>
      <c r="B215" t="s">
        <v>34</v>
      </c>
      <c r="C215" t="s">
        <v>27</v>
      </c>
      <c r="D215" t="s">
        <v>42</v>
      </c>
      <c r="E215" t="s">
        <v>43</v>
      </c>
      <c r="F215">
        <v>8</v>
      </c>
      <c r="G215">
        <v>76240</v>
      </c>
      <c r="H215" t="s">
        <v>273</v>
      </c>
      <c r="J215">
        <v>20</v>
      </c>
      <c r="K215" t="s">
        <v>58</v>
      </c>
      <c r="L215" t="s">
        <v>31</v>
      </c>
      <c r="M215" t="s">
        <v>50</v>
      </c>
      <c r="N215">
        <v>487936</v>
      </c>
      <c r="O215">
        <v>104914.96</v>
      </c>
      <c r="P215" t="s">
        <v>40</v>
      </c>
      <c r="Q215" t="s">
        <v>25</v>
      </c>
    </row>
    <row r="216" spans="1:17" x14ac:dyDescent="0.25">
      <c r="A216">
        <v>315</v>
      </c>
      <c r="B216" t="s">
        <v>107</v>
      </c>
      <c r="C216" t="s">
        <v>17</v>
      </c>
      <c r="D216" t="s">
        <v>18</v>
      </c>
      <c r="E216" t="s">
        <v>36</v>
      </c>
      <c r="F216">
        <v>3</v>
      </c>
      <c r="G216">
        <v>71059</v>
      </c>
      <c r="H216" t="s">
        <v>274</v>
      </c>
      <c r="J216">
        <v>10</v>
      </c>
      <c r="K216" t="s">
        <v>38</v>
      </c>
      <c r="L216" t="s">
        <v>31</v>
      </c>
      <c r="M216" t="s">
        <v>64</v>
      </c>
      <c r="N216">
        <v>191859.3</v>
      </c>
      <c r="O216">
        <v>16784.47</v>
      </c>
      <c r="P216" t="s">
        <v>33</v>
      </c>
      <c r="Q216" t="s">
        <v>56</v>
      </c>
    </row>
    <row r="217" spans="1:17" x14ac:dyDescent="0.25">
      <c r="A217">
        <v>316</v>
      </c>
      <c r="B217" t="s">
        <v>26</v>
      </c>
      <c r="C217" t="s">
        <v>17</v>
      </c>
      <c r="D217" t="s">
        <v>69</v>
      </c>
      <c r="E217" t="s">
        <v>121</v>
      </c>
      <c r="F217">
        <v>6</v>
      </c>
      <c r="G217">
        <v>65245</v>
      </c>
      <c r="H217" t="s">
        <v>275</v>
      </c>
      <c r="J217">
        <v>5</v>
      </c>
      <c r="K217" t="s">
        <v>45</v>
      </c>
      <c r="L217" t="s">
        <v>22</v>
      </c>
      <c r="M217" t="s">
        <v>100</v>
      </c>
      <c r="N217">
        <v>371896.5</v>
      </c>
      <c r="O217">
        <v>38984.480000000003</v>
      </c>
      <c r="P217" t="s">
        <v>24</v>
      </c>
      <c r="Q217" t="s">
        <v>56</v>
      </c>
    </row>
    <row r="218" spans="1:17" x14ac:dyDescent="0.25">
      <c r="A218">
        <v>317</v>
      </c>
      <c r="B218" t="s">
        <v>107</v>
      </c>
      <c r="C218" t="s">
        <v>27</v>
      </c>
      <c r="D218" t="s">
        <v>28</v>
      </c>
      <c r="E218" t="s">
        <v>29</v>
      </c>
      <c r="F218">
        <v>3</v>
      </c>
      <c r="G218">
        <v>47674</v>
      </c>
      <c r="H218" t="s">
        <v>276</v>
      </c>
      <c r="J218">
        <v>5</v>
      </c>
      <c r="K218" t="s">
        <v>45</v>
      </c>
      <c r="L218" t="s">
        <v>55</v>
      </c>
      <c r="M218" t="s">
        <v>100</v>
      </c>
      <c r="N218">
        <v>135870.9</v>
      </c>
      <c r="O218">
        <v>24654.99</v>
      </c>
      <c r="P218" t="s">
        <v>40</v>
      </c>
      <c r="Q218" t="s">
        <v>56</v>
      </c>
    </row>
    <row r="219" spans="1:17" x14ac:dyDescent="0.25">
      <c r="A219">
        <v>318</v>
      </c>
      <c r="B219" t="s">
        <v>91</v>
      </c>
      <c r="C219" t="s">
        <v>27</v>
      </c>
      <c r="D219" t="s">
        <v>76</v>
      </c>
      <c r="E219" t="s">
        <v>101</v>
      </c>
      <c r="F219">
        <v>6</v>
      </c>
      <c r="G219">
        <v>25490</v>
      </c>
      <c r="H219" t="s">
        <v>277</v>
      </c>
      <c r="J219">
        <v>20</v>
      </c>
      <c r="K219" t="s">
        <v>58</v>
      </c>
      <c r="L219" t="s">
        <v>31</v>
      </c>
      <c r="M219" t="s">
        <v>50</v>
      </c>
      <c r="N219">
        <v>122352</v>
      </c>
      <c r="O219">
        <v>21337.759999999998</v>
      </c>
      <c r="P219" t="s">
        <v>65</v>
      </c>
      <c r="Q219" t="s">
        <v>75</v>
      </c>
    </row>
    <row r="220" spans="1:17" x14ac:dyDescent="0.25">
      <c r="A220">
        <v>319</v>
      </c>
      <c r="B220" t="s">
        <v>107</v>
      </c>
      <c r="C220" t="s">
        <v>27</v>
      </c>
      <c r="D220" t="s">
        <v>18</v>
      </c>
      <c r="E220" t="s">
        <v>36</v>
      </c>
      <c r="F220">
        <v>8</v>
      </c>
      <c r="G220">
        <v>47302</v>
      </c>
      <c r="H220" t="s">
        <v>278</v>
      </c>
      <c r="J220">
        <v>20</v>
      </c>
      <c r="K220" t="s">
        <v>74</v>
      </c>
      <c r="L220" t="s">
        <v>55</v>
      </c>
      <c r="M220" t="s">
        <v>100</v>
      </c>
      <c r="N220">
        <v>302732.79999999999</v>
      </c>
      <c r="O220">
        <v>40684.120000000003</v>
      </c>
      <c r="P220" t="s">
        <v>40</v>
      </c>
      <c r="Q220" t="s">
        <v>25</v>
      </c>
    </row>
    <row r="221" spans="1:17" x14ac:dyDescent="0.25">
      <c r="A221">
        <v>320</v>
      </c>
      <c r="B221" t="s">
        <v>61</v>
      </c>
      <c r="C221" t="s">
        <v>35</v>
      </c>
      <c r="D221" t="s">
        <v>18</v>
      </c>
      <c r="E221" t="s">
        <v>62</v>
      </c>
      <c r="F221">
        <v>4</v>
      </c>
      <c r="G221">
        <v>35168</v>
      </c>
      <c r="H221" t="s">
        <v>114</v>
      </c>
      <c r="J221">
        <v>5</v>
      </c>
      <c r="K221" t="s">
        <v>74</v>
      </c>
      <c r="L221" t="s">
        <v>46</v>
      </c>
      <c r="M221" t="s">
        <v>100</v>
      </c>
      <c r="N221">
        <v>133638.39999999999</v>
      </c>
      <c r="O221">
        <v>25261.69</v>
      </c>
      <c r="P221" t="s">
        <v>24</v>
      </c>
      <c r="Q221" t="s">
        <v>56</v>
      </c>
    </row>
    <row r="222" spans="1:17" x14ac:dyDescent="0.25">
      <c r="A222">
        <v>321</v>
      </c>
      <c r="B222" t="s">
        <v>94</v>
      </c>
      <c r="C222" t="s">
        <v>68</v>
      </c>
      <c r="D222" t="s">
        <v>28</v>
      </c>
      <c r="E222" t="s">
        <v>48</v>
      </c>
      <c r="F222">
        <v>5</v>
      </c>
      <c r="G222">
        <v>22642</v>
      </c>
      <c r="H222" t="s">
        <v>279</v>
      </c>
      <c r="J222">
        <v>10</v>
      </c>
      <c r="K222" t="s">
        <v>54</v>
      </c>
      <c r="L222" t="s">
        <v>55</v>
      </c>
      <c r="M222" t="s">
        <v>23</v>
      </c>
      <c r="N222">
        <v>101889</v>
      </c>
      <c r="O222">
        <v>28284.39</v>
      </c>
      <c r="P222" t="s">
        <v>65</v>
      </c>
      <c r="Q222" t="s">
        <v>25</v>
      </c>
    </row>
    <row r="223" spans="1:17" x14ac:dyDescent="0.25">
      <c r="A223">
        <v>322</v>
      </c>
      <c r="B223" t="s">
        <v>115</v>
      </c>
      <c r="C223" t="s">
        <v>68</v>
      </c>
      <c r="D223" t="s">
        <v>76</v>
      </c>
      <c r="E223" t="s">
        <v>77</v>
      </c>
      <c r="F223">
        <v>2</v>
      </c>
      <c r="G223">
        <v>61805</v>
      </c>
      <c r="H223" t="s">
        <v>280</v>
      </c>
      <c r="J223">
        <v>20</v>
      </c>
      <c r="K223" t="s">
        <v>54</v>
      </c>
      <c r="L223" t="s">
        <v>31</v>
      </c>
      <c r="M223" t="s">
        <v>39</v>
      </c>
      <c r="N223">
        <v>98888</v>
      </c>
      <c r="O223">
        <v>18550.45</v>
      </c>
      <c r="P223" t="s">
        <v>24</v>
      </c>
      <c r="Q223" t="s">
        <v>56</v>
      </c>
    </row>
    <row r="224" spans="1:17" x14ac:dyDescent="0.25">
      <c r="A224">
        <v>323</v>
      </c>
      <c r="B224" t="s">
        <v>34</v>
      </c>
      <c r="C224" t="s">
        <v>68</v>
      </c>
      <c r="D224" t="s">
        <v>42</v>
      </c>
      <c r="E224" t="s">
        <v>43</v>
      </c>
      <c r="F224">
        <v>2</v>
      </c>
      <c r="G224">
        <v>37492</v>
      </c>
      <c r="H224" t="s">
        <v>281</v>
      </c>
      <c r="J224">
        <v>0</v>
      </c>
      <c r="K224" t="s">
        <v>58</v>
      </c>
      <c r="L224" t="s">
        <v>31</v>
      </c>
      <c r="M224" t="s">
        <v>47</v>
      </c>
      <c r="N224">
        <v>74984</v>
      </c>
      <c r="O224">
        <v>17728.14</v>
      </c>
      <c r="P224" t="s">
        <v>40</v>
      </c>
      <c r="Q224" t="s">
        <v>56</v>
      </c>
    </row>
    <row r="225" spans="1:17" x14ac:dyDescent="0.25">
      <c r="A225">
        <v>324</v>
      </c>
      <c r="B225" t="s">
        <v>107</v>
      </c>
      <c r="C225" t="s">
        <v>17</v>
      </c>
      <c r="D225" t="s">
        <v>42</v>
      </c>
      <c r="E225" t="s">
        <v>52</v>
      </c>
      <c r="F225">
        <v>5</v>
      </c>
      <c r="G225">
        <v>1741</v>
      </c>
      <c r="H225" t="s">
        <v>264</v>
      </c>
      <c r="J225">
        <v>15</v>
      </c>
      <c r="K225" t="s">
        <v>45</v>
      </c>
      <c r="L225" t="s">
        <v>22</v>
      </c>
      <c r="M225" t="s">
        <v>81</v>
      </c>
      <c r="N225">
        <v>7399.25</v>
      </c>
      <c r="O225">
        <v>1698.6</v>
      </c>
      <c r="P225" t="s">
        <v>33</v>
      </c>
      <c r="Q225" t="s">
        <v>56</v>
      </c>
    </row>
    <row r="226" spans="1:17" x14ac:dyDescent="0.25">
      <c r="A226">
        <v>325</v>
      </c>
      <c r="B226" t="s">
        <v>91</v>
      </c>
      <c r="C226" t="s">
        <v>27</v>
      </c>
      <c r="D226" t="s">
        <v>76</v>
      </c>
      <c r="E226" t="s">
        <v>92</v>
      </c>
      <c r="F226">
        <v>9</v>
      </c>
      <c r="G226">
        <v>48833</v>
      </c>
      <c r="H226" t="s">
        <v>237</v>
      </c>
      <c r="J226">
        <v>10</v>
      </c>
      <c r="K226" t="s">
        <v>45</v>
      </c>
      <c r="L226" t="s">
        <v>22</v>
      </c>
      <c r="M226" t="s">
        <v>100</v>
      </c>
      <c r="N226">
        <v>395547.3</v>
      </c>
      <c r="O226">
        <v>100074.04</v>
      </c>
      <c r="P226" t="s">
        <v>33</v>
      </c>
      <c r="Q226" t="s">
        <v>75</v>
      </c>
    </row>
    <row r="227" spans="1:17" x14ac:dyDescent="0.25">
      <c r="A227">
        <v>326</v>
      </c>
      <c r="B227" t="s">
        <v>26</v>
      </c>
      <c r="C227" t="s">
        <v>68</v>
      </c>
      <c r="D227" t="s">
        <v>76</v>
      </c>
      <c r="E227" t="s">
        <v>92</v>
      </c>
      <c r="F227">
        <v>5</v>
      </c>
      <c r="G227">
        <v>69743</v>
      </c>
      <c r="H227" t="s">
        <v>235</v>
      </c>
      <c r="J227">
        <v>15</v>
      </c>
      <c r="K227" t="s">
        <v>45</v>
      </c>
      <c r="L227" t="s">
        <v>22</v>
      </c>
      <c r="M227" t="s">
        <v>81</v>
      </c>
      <c r="N227">
        <v>296407.75</v>
      </c>
      <c r="O227">
        <v>60704.32</v>
      </c>
      <c r="P227" t="s">
        <v>65</v>
      </c>
      <c r="Q227" t="s">
        <v>25</v>
      </c>
    </row>
    <row r="228" spans="1:17" x14ac:dyDescent="0.25">
      <c r="A228">
        <v>327</v>
      </c>
      <c r="B228" t="s">
        <v>61</v>
      </c>
      <c r="C228" t="s">
        <v>35</v>
      </c>
      <c r="D228" t="s">
        <v>28</v>
      </c>
      <c r="E228" t="s">
        <v>29</v>
      </c>
      <c r="F228">
        <v>1</v>
      </c>
      <c r="G228">
        <v>63303</v>
      </c>
      <c r="H228" t="s">
        <v>282</v>
      </c>
      <c r="J228">
        <v>0</v>
      </c>
      <c r="K228" t="s">
        <v>58</v>
      </c>
      <c r="L228" t="s">
        <v>55</v>
      </c>
      <c r="M228" t="s">
        <v>50</v>
      </c>
      <c r="N228">
        <v>63303</v>
      </c>
      <c r="O228">
        <v>12283.06</v>
      </c>
      <c r="P228" t="s">
        <v>24</v>
      </c>
      <c r="Q228" t="s">
        <v>25</v>
      </c>
    </row>
    <row r="229" spans="1:17" x14ac:dyDescent="0.25">
      <c r="A229">
        <v>328</v>
      </c>
      <c r="B229" t="s">
        <v>96</v>
      </c>
      <c r="C229" t="s">
        <v>17</v>
      </c>
      <c r="D229" t="s">
        <v>18</v>
      </c>
      <c r="E229" t="s">
        <v>62</v>
      </c>
      <c r="F229">
        <v>4</v>
      </c>
      <c r="G229">
        <v>56219</v>
      </c>
      <c r="H229" t="s">
        <v>283</v>
      </c>
      <c r="J229">
        <v>15</v>
      </c>
      <c r="K229" t="s">
        <v>58</v>
      </c>
      <c r="L229" t="s">
        <v>31</v>
      </c>
      <c r="M229" t="s">
        <v>47</v>
      </c>
      <c r="N229">
        <v>191144.6</v>
      </c>
      <c r="O229">
        <v>32314.73</v>
      </c>
      <c r="P229" t="s">
        <v>65</v>
      </c>
      <c r="Q229" t="s">
        <v>25</v>
      </c>
    </row>
    <row r="230" spans="1:17" x14ac:dyDescent="0.25">
      <c r="A230">
        <v>329</v>
      </c>
      <c r="B230" t="s">
        <v>94</v>
      </c>
      <c r="C230" t="s">
        <v>27</v>
      </c>
      <c r="D230" t="s">
        <v>76</v>
      </c>
      <c r="E230" t="s">
        <v>77</v>
      </c>
      <c r="F230">
        <v>2</v>
      </c>
      <c r="G230">
        <v>24173</v>
      </c>
      <c r="H230" t="s">
        <v>284</v>
      </c>
      <c r="J230">
        <v>0</v>
      </c>
      <c r="K230" t="s">
        <v>45</v>
      </c>
      <c r="L230" t="s">
        <v>31</v>
      </c>
      <c r="M230" t="s">
        <v>50</v>
      </c>
      <c r="N230">
        <v>48346</v>
      </c>
      <c r="O230">
        <v>9760.18</v>
      </c>
      <c r="P230" t="s">
        <v>65</v>
      </c>
      <c r="Q230" t="s">
        <v>75</v>
      </c>
    </row>
    <row r="231" spans="1:17" x14ac:dyDescent="0.25">
      <c r="A231">
        <v>330</v>
      </c>
      <c r="B231" t="s">
        <v>34</v>
      </c>
      <c r="C231" t="s">
        <v>17</v>
      </c>
      <c r="D231" t="s">
        <v>28</v>
      </c>
      <c r="E231" t="s">
        <v>48</v>
      </c>
      <c r="F231">
        <v>7</v>
      </c>
      <c r="G231">
        <v>29422</v>
      </c>
      <c r="H231" t="s">
        <v>285</v>
      </c>
      <c r="J231">
        <v>15</v>
      </c>
      <c r="K231" t="s">
        <v>54</v>
      </c>
      <c r="L231" t="s">
        <v>31</v>
      </c>
      <c r="M231" t="s">
        <v>100</v>
      </c>
      <c r="N231">
        <v>175060.9</v>
      </c>
      <c r="O231">
        <v>16152.89</v>
      </c>
      <c r="P231" t="s">
        <v>33</v>
      </c>
      <c r="Q231" t="s">
        <v>56</v>
      </c>
    </row>
    <row r="232" spans="1:17" x14ac:dyDescent="0.25">
      <c r="A232">
        <v>331</v>
      </c>
      <c r="B232" t="s">
        <v>61</v>
      </c>
      <c r="C232" t="s">
        <v>27</v>
      </c>
      <c r="D232" t="s">
        <v>28</v>
      </c>
      <c r="E232" t="s">
        <v>29</v>
      </c>
      <c r="F232">
        <v>4</v>
      </c>
      <c r="G232">
        <v>76520</v>
      </c>
      <c r="H232" t="s">
        <v>244</v>
      </c>
      <c r="J232">
        <v>15</v>
      </c>
      <c r="K232" t="s">
        <v>45</v>
      </c>
      <c r="L232" t="s">
        <v>31</v>
      </c>
      <c r="M232" t="s">
        <v>39</v>
      </c>
      <c r="N232">
        <v>260168</v>
      </c>
      <c r="O232">
        <v>65167.46</v>
      </c>
      <c r="P232" t="s">
        <v>40</v>
      </c>
      <c r="Q232" t="s">
        <v>25</v>
      </c>
    </row>
    <row r="233" spans="1:17" x14ac:dyDescent="0.25">
      <c r="A233">
        <v>332</v>
      </c>
      <c r="B233" t="s">
        <v>94</v>
      </c>
      <c r="C233" t="s">
        <v>35</v>
      </c>
      <c r="D233" t="s">
        <v>18</v>
      </c>
      <c r="E233" t="s">
        <v>72</v>
      </c>
      <c r="F233">
        <v>10</v>
      </c>
      <c r="G233">
        <v>30509</v>
      </c>
      <c r="H233" t="s">
        <v>286</v>
      </c>
      <c r="J233">
        <v>10</v>
      </c>
      <c r="K233" t="s">
        <v>38</v>
      </c>
      <c r="L233" t="s">
        <v>46</v>
      </c>
      <c r="M233" t="s">
        <v>50</v>
      </c>
      <c r="N233">
        <v>274581</v>
      </c>
      <c r="O233">
        <v>37454.67</v>
      </c>
      <c r="P233" t="s">
        <v>40</v>
      </c>
      <c r="Q233" t="s">
        <v>75</v>
      </c>
    </row>
    <row r="234" spans="1:17" x14ac:dyDescent="0.25">
      <c r="A234">
        <v>333</v>
      </c>
      <c r="B234" t="s">
        <v>61</v>
      </c>
      <c r="C234" t="s">
        <v>27</v>
      </c>
      <c r="D234" t="s">
        <v>18</v>
      </c>
      <c r="E234" t="s">
        <v>36</v>
      </c>
      <c r="F234">
        <v>1</v>
      </c>
      <c r="G234">
        <v>47792</v>
      </c>
      <c r="H234" t="s">
        <v>266</v>
      </c>
      <c r="J234">
        <v>5</v>
      </c>
      <c r="K234" t="s">
        <v>21</v>
      </c>
      <c r="L234" t="s">
        <v>55</v>
      </c>
      <c r="M234" t="s">
        <v>23</v>
      </c>
      <c r="N234">
        <v>45402.400000000001</v>
      </c>
      <c r="O234">
        <v>9715.4599999999991</v>
      </c>
      <c r="P234" t="s">
        <v>33</v>
      </c>
      <c r="Q234" t="s">
        <v>25</v>
      </c>
    </row>
    <row r="235" spans="1:17" x14ac:dyDescent="0.25">
      <c r="A235">
        <v>334</v>
      </c>
      <c r="B235" t="s">
        <v>107</v>
      </c>
      <c r="C235" t="s">
        <v>68</v>
      </c>
      <c r="D235" t="s">
        <v>28</v>
      </c>
      <c r="E235" t="s">
        <v>48</v>
      </c>
      <c r="F235">
        <v>2</v>
      </c>
      <c r="G235">
        <v>19456</v>
      </c>
      <c r="H235" t="s">
        <v>232</v>
      </c>
      <c r="J235">
        <v>0</v>
      </c>
      <c r="K235" t="s">
        <v>45</v>
      </c>
      <c r="L235" t="s">
        <v>22</v>
      </c>
      <c r="M235" t="s">
        <v>32</v>
      </c>
      <c r="N235">
        <v>38912</v>
      </c>
      <c r="O235">
        <v>4448.57</v>
      </c>
      <c r="P235" t="s">
        <v>33</v>
      </c>
      <c r="Q235" t="s">
        <v>75</v>
      </c>
    </row>
    <row r="236" spans="1:17" x14ac:dyDescent="0.25">
      <c r="A236">
        <v>335</v>
      </c>
      <c r="B236" t="s">
        <v>91</v>
      </c>
      <c r="C236" t="s">
        <v>35</v>
      </c>
      <c r="D236" t="s">
        <v>76</v>
      </c>
      <c r="E236" t="s">
        <v>92</v>
      </c>
      <c r="F236">
        <v>6</v>
      </c>
      <c r="G236">
        <v>6858</v>
      </c>
      <c r="H236" t="s">
        <v>287</v>
      </c>
      <c r="J236">
        <v>5</v>
      </c>
      <c r="K236" t="s">
        <v>45</v>
      </c>
      <c r="L236" t="s">
        <v>46</v>
      </c>
      <c r="M236" t="s">
        <v>39</v>
      </c>
      <c r="N236">
        <v>39090.6</v>
      </c>
      <c r="O236">
        <v>6405.61</v>
      </c>
      <c r="P236" t="s">
        <v>40</v>
      </c>
      <c r="Q236" t="s">
        <v>75</v>
      </c>
    </row>
    <row r="237" spans="1:17" x14ac:dyDescent="0.25">
      <c r="A237">
        <v>336</v>
      </c>
      <c r="B237" t="s">
        <v>41</v>
      </c>
      <c r="C237" t="s">
        <v>27</v>
      </c>
      <c r="D237" t="s">
        <v>69</v>
      </c>
      <c r="E237" t="s">
        <v>121</v>
      </c>
      <c r="F237">
        <v>5</v>
      </c>
      <c r="G237">
        <v>11514</v>
      </c>
      <c r="H237" t="s">
        <v>239</v>
      </c>
      <c r="J237">
        <v>5</v>
      </c>
      <c r="K237" t="s">
        <v>58</v>
      </c>
      <c r="L237" t="s">
        <v>22</v>
      </c>
      <c r="M237" t="s">
        <v>39</v>
      </c>
      <c r="N237">
        <v>54691.5</v>
      </c>
      <c r="O237">
        <v>15997.39</v>
      </c>
      <c r="P237" t="s">
        <v>40</v>
      </c>
      <c r="Q237" t="s">
        <v>25</v>
      </c>
    </row>
    <row r="238" spans="1:17" x14ac:dyDescent="0.25">
      <c r="A238">
        <v>337</v>
      </c>
      <c r="B238" t="s">
        <v>84</v>
      </c>
      <c r="C238" t="s">
        <v>27</v>
      </c>
      <c r="D238" t="s">
        <v>76</v>
      </c>
      <c r="E238" t="s">
        <v>92</v>
      </c>
      <c r="F238">
        <v>10</v>
      </c>
      <c r="G238">
        <v>63096</v>
      </c>
      <c r="H238" t="s">
        <v>175</v>
      </c>
      <c r="J238">
        <v>15</v>
      </c>
      <c r="K238" t="s">
        <v>38</v>
      </c>
      <c r="L238" t="s">
        <v>46</v>
      </c>
      <c r="M238" t="s">
        <v>100</v>
      </c>
      <c r="N238">
        <v>536316</v>
      </c>
      <c r="O238">
        <v>87750.34</v>
      </c>
      <c r="P238" t="s">
        <v>33</v>
      </c>
      <c r="Q238" t="s">
        <v>25</v>
      </c>
    </row>
    <row r="239" spans="1:17" x14ac:dyDescent="0.25">
      <c r="A239">
        <v>338</v>
      </c>
      <c r="B239" t="s">
        <v>41</v>
      </c>
      <c r="C239" t="s">
        <v>35</v>
      </c>
      <c r="D239" t="s">
        <v>69</v>
      </c>
      <c r="E239" t="s">
        <v>121</v>
      </c>
      <c r="F239">
        <v>8</v>
      </c>
      <c r="G239">
        <v>67946</v>
      </c>
      <c r="H239" t="s">
        <v>85</v>
      </c>
      <c r="J239">
        <v>5</v>
      </c>
      <c r="K239" t="s">
        <v>45</v>
      </c>
      <c r="L239" t="s">
        <v>55</v>
      </c>
      <c r="M239" t="s">
        <v>50</v>
      </c>
      <c r="N239">
        <v>516389.6</v>
      </c>
      <c r="O239">
        <v>131234.6</v>
      </c>
      <c r="P239" t="s">
        <v>40</v>
      </c>
      <c r="Q239" t="s">
        <v>25</v>
      </c>
    </row>
    <row r="240" spans="1:17" x14ac:dyDescent="0.25">
      <c r="A240">
        <v>339</v>
      </c>
      <c r="B240" t="s">
        <v>51</v>
      </c>
      <c r="C240" t="s">
        <v>68</v>
      </c>
      <c r="D240" t="s">
        <v>18</v>
      </c>
      <c r="E240" t="s">
        <v>72</v>
      </c>
      <c r="F240">
        <v>6</v>
      </c>
      <c r="G240">
        <v>45233</v>
      </c>
      <c r="H240" t="s">
        <v>288</v>
      </c>
      <c r="J240">
        <v>10</v>
      </c>
      <c r="K240" t="s">
        <v>74</v>
      </c>
      <c r="L240" t="s">
        <v>46</v>
      </c>
      <c r="M240" t="s">
        <v>64</v>
      </c>
      <c r="N240">
        <v>244258.2</v>
      </c>
      <c r="O240">
        <v>59768.44</v>
      </c>
      <c r="P240" t="s">
        <v>40</v>
      </c>
      <c r="Q240" t="s">
        <v>56</v>
      </c>
    </row>
    <row r="241" spans="1:17" x14ac:dyDescent="0.25">
      <c r="A241">
        <v>340</v>
      </c>
      <c r="B241" t="s">
        <v>34</v>
      </c>
      <c r="C241" t="s">
        <v>27</v>
      </c>
      <c r="D241" t="s">
        <v>28</v>
      </c>
      <c r="E241" t="s">
        <v>48</v>
      </c>
      <c r="F241">
        <v>6</v>
      </c>
      <c r="G241">
        <v>8946</v>
      </c>
      <c r="H241" t="s">
        <v>289</v>
      </c>
      <c r="J241">
        <v>15</v>
      </c>
      <c r="K241" t="s">
        <v>38</v>
      </c>
      <c r="L241" t="s">
        <v>46</v>
      </c>
      <c r="M241" t="s">
        <v>47</v>
      </c>
      <c r="N241">
        <v>45624.6</v>
      </c>
      <c r="O241">
        <v>8715.57</v>
      </c>
      <c r="P241" t="s">
        <v>65</v>
      </c>
      <c r="Q241" t="s">
        <v>56</v>
      </c>
    </row>
    <row r="242" spans="1:17" x14ac:dyDescent="0.25">
      <c r="A242">
        <v>341</v>
      </c>
      <c r="B242" t="s">
        <v>61</v>
      </c>
      <c r="C242" t="s">
        <v>68</v>
      </c>
      <c r="D242" t="s">
        <v>28</v>
      </c>
      <c r="E242" t="s">
        <v>103</v>
      </c>
      <c r="F242">
        <v>7</v>
      </c>
      <c r="G242">
        <v>77105</v>
      </c>
      <c r="H242" t="s">
        <v>204</v>
      </c>
      <c r="J242">
        <v>10</v>
      </c>
      <c r="K242" t="s">
        <v>45</v>
      </c>
      <c r="L242" t="s">
        <v>55</v>
      </c>
      <c r="M242" t="s">
        <v>64</v>
      </c>
      <c r="N242">
        <v>485761.5</v>
      </c>
      <c r="O242">
        <v>74594.42</v>
      </c>
      <c r="P242" t="s">
        <v>40</v>
      </c>
      <c r="Q242" t="s">
        <v>56</v>
      </c>
    </row>
    <row r="243" spans="1:17" x14ac:dyDescent="0.25">
      <c r="A243">
        <v>342</v>
      </c>
      <c r="B243" t="s">
        <v>61</v>
      </c>
      <c r="C243" t="s">
        <v>35</v>
      </c>
      <c r="D243" t="s">
        <v>28</v>
      </c>
      <c r="E243" t="s">
        <v>29</v>
      </c>
      <c r="F243">
        <v>2</v>
      </c>
      <c r="G243">
        <v>4002</v>
      </c>
      <c r="H243" t="s">
        <v>290</v>
      </c>
      <c r="J243">
        <v>0</v>
      </c>
      <c r="K243" t="s">
        <v>38</v>
      </c>
      <c r="L243" t="s">
        <v>31</v>
      </c>
      <c r="M243" t="s">
        <v>39</v>
      </c>
      <c r="N243">
        <v>8004</v>
      </c>
      <c r="O243">
        <v>1997.63</v>
      </c>
      <c r="P243" t="s">
        <v>40</v>
      </c>
      <c r="Q243" t="s">
        <v>75</v>
      </c>
    </row>
    <row r="244" spans="1:17" x14ac:dyDescent="0.25">
      <c r="A244">
        <v>343</v>
      </c>
      <c r="B244" t="s">
        <v>96</v>
      </c>
      <c r="C244" t="s">
        <v>27</v>
      </c>
      <c r="D244" t="s">
        <v>28</v>
      </c>
      <c r="E244" t="s">
        <v>103</v>
      </c>
      <c r="F244">
        <v>1</v>
      </c>
      <c r="G244">
        <v>73106</v>
      </c>
      <c r="H244" t="s">
        <v>291</v>
      </c>
      <c r="J244">
        <v>5</v>
      </c>
      <c r="K244" t="s">
        <v>54</v>
      </c>
      <c r="L244" t="s">
        <v>55</v>
      </c>
      <c r="M244" t="s">
        <v>64</v>
      </c>
      <c r="N244">
        <v>69450.7</v>
      </c>
      <c r="O244">
        <v>10536.46</v>
      </c>
      <c r="P244" t="s">
        <v>40</v>
      </c>
      <c r="Q244" t="s">
        <v>56</v>
      </c>
    </row>
    <row r="245" spans="1:17" x14ac:dyDescent="0.25">
      <c r="A245">
        <v>344</v>
      </c>
      <c r="B245" t="s">
        <v>16</v>
      </c>
      <c r="C245" t="s">
        <v>27</v>
      </c>
      <c r="D245" t="s">
        <v>76</v>
      </c>
      <c r="E245" t="s">
        <v>92</v>
      </c>
      <c r="F245">
        <v>8</v>
      </c>
      <c r="G245">
        <v>49669</v>
      </c>
      <c r="H245" t="s">
        <v>292</v>
      </c>
      <c r="J245">
        <v>5</v>
      </c>
      <c r="K245" t="s">
        <v>45</v>
      </c>
      <c r="L245" t="s">
        <v>22</v>
      </c>
      <c r="M245" t="s">
        <v>81</v>
      </c>
      <c r="N245">
        <v>377484.4</v>
      </c>
      <c r="O245">
        <v>78086.33</v>
      </c>
      <c r="P245" t="s">
        <v>65</v>
      </c>
      <c r="Q245" t="s">
        <v>75</v>
      </c>
    </row>
    <row r="246" spans="1:17" x14ac:dyDescent="0.25">
      <c r="A246">
        <v>345</v>
      </c>
      <c r="B246" t="s">
        <v>61</v>
      </c>
      <c r="C246" t="s">
        <v>17</v>
      </c>
      <c r="D246" t="s">
        <v>28</v>
      </c>
      <c r="E246" t="s">
        <v>29</v>
      </c>
      <c r="F246">
        <v>8</v>
      </c>
      <c r="G246">
        <v>20266</v>
      </c>
      <c r="H246" t="s">
        <v>293</v>
      </c>
      <c r="J246">
        <v>5</v>
      </c>
      <c r="K246" t="s">
        <v>54</v>
      </c>
      <c r="L246" t="s">
        <v>46</v>
      </c>
      <c r="M246" t="s">
        <v>100</v>
      </c>
      <c r="N246">
        <v>154021.6</v>
      </c>
      <c r="O246">
        <v>41964.08</v>
      </c>
      <c r="P246" t="s">
        <v>24</v>
      </c>
      <c r="Q246" t="s">
        <v>75</v>
      </c>
    </row>
    <row r="247" spans="1:17" x14ac:dyDescent="0.25">
      <c r="A247">
        <v>346</v>
      </c>
      <c r="B247" t="s">
        <v>16</v>
      </c>
      <c r="C247" t="s">
        <v>35</v>
      </c>
      <c r="D247" t="s">
        <v>69</v>
      </c>
      <c r="E247" t="s">
        <v>121</v>
      </c>
      <c r="F247">
        <v>9</v>
      </c>
      <c r="G247">
        <v>63761</v>
      </c>
      <c r="H247" t="s">
        <v>294</v>
      </c>
      <c r="J247">
        <v>10</v>
      </c>
      <c r="K247" t="s">
        <v>21</v>
      </c>
      <c r="L247" t="s">
        <v>22</v>
      </c>
      <c r="M247" t="s">
        <v>50</v>
      </c>
      <c r="N247">
        <v>516464.1</v>
      </c>
      <c r="O247">
        <v>79736.91</v>
      </c>
      <c r="P247" t="s">
        <v>24</v>
      </c>
      <c r="Q247" t="s">
        <v>25</v>
      </c>
    </row>
    <row r="248" spans="1:17" x14ac:dyDescent="0.25">
      <c r="A248">
        <v>347</v>
      </c>
      <c r="B248" t="s">
        <v>67</v>
      </c>
      <c r="C248" t="s">
        <v>35</v>
      </c>
      <c r="D248" t="s">
        <v>69</v>
      </c>
      <c r="E248" t="s">
        <v>98</v>
      </c>
      <c r="F248">
        <v>8</v>
      </c>
      <c r="G248">
        <v>64581</v>
      </c>
      <c r="H248" t="s">
        <v>295</v>
      </c>
      <c r="J248">
        <v>0</v>
      </c>
      <c r="K248" t="s">
        <v>38</v>
      </c>
      <c r="L248" t="s">
        <v>46</v>
      </c>
      <c r="M248" t="s">
        <v>50</v>
      </c>
      <c r="N248">
        <v>516648</v>
      </c>
      <c r="O248">
        <v>131621</v>
      </c>
      <c r="P248" t="s">
        <v>33</v>
      </c>
      <c r="Q248" t="s">
        <v>75</v>
      </c>
    </row>
    <row r="249" spans="1:17" x14ac:dyDescent="0.25">
      <c r="A249">
        <v>348</v>
      </c>
      <c r="B249" t="s">
        <v>84</v>
      </c>
      <c r="C249" t="s">
        <v>17</v>
      </c>
      <c r="D249" t="s">
        <v>28</v>
      </c>
      <c r="E249" t="s">
        <v>103</v>
      </c>
      <c r="F249">
        <v>3</v>
      </c>
      <c r="G249">
        <v>35922</v>
      </c>
      <c r="H249" t="s">
        <v>296</v>
      </c>
      <c r="J249">
        <v>0</v>
      </c>
      <c r="K249" t="s">
        <v>58</v>
      </c>
      <c r="L249" t="s">
        <v>22</v>
      </c>
      <c r="M249" t="s">
        <v>32</v>
      </c>
      <c r="N249">
        <v>107766</v>
      </c>
      <c r="O249">
        <v>24433.99</v>
      </c>
      <c r="P249" t="s">
        <v>24</v>
      </c>
      <c r="Q249" t="s">
        <v>75</v>
      </c>
    </row>
    <row r="250" spans="1:17" x14ac:dyDescent="0.25">
      <c r="A250">
        <v>349</v>
      </c>
      <c r="B250" t="s">
        <v>34</v>
      </c>
      <c r="C250" t="s">
        <v>17</v>
      </c>
      <c r="D250" t="s">
        <v>18</v>
      </c>
      <c r="E250" t="s">
        <v>36</v>
      </c>
      <c r="F250">
        <v>6</v>
      </c>
      <c r="G250">
        <v>39551</v>
      </c>
      <c r="H250" t="s">
        <v>119</v>
      </c>
      <c r="J250">
        <v>5</v>
      </c>
      <c r="K250" t="s">
        <v>21</v>
      </c>
      <c r="L250" t="s">
        <v>31</v>
      </c>
      <c r="M250" t="s">
        <v>23</v>
      </c>
      <c r="N250">
        <v>225440.7</v>
      </c>
      <c r="O250">
        <v>35648.089999999997</v>
      </c>
      <c r="P250" t="s">
        <v>33</v>
      </c>
      <c r="Q250" t="s">
        <v>56</v>
      </c>
    </row>
    <row r="251" spans="1:17" x14ac:dyDescent="0.25">
      <c r="A251">
        <v>350</v>
      </c>
      <c r="B251" t="s">
        <v>109</v>
      </c>
      <c r="C251" t="s">
        <v>17</v>
      </c>
      <c r="D251" t="s">
        <v>76</v>
      </c>
      <c r="E251" t="s">
        <v>101</v>
      </c>
      <c r="F251">
        <v>1</v>
      </c>
      <c r="G251">
        <v>62194</v>
      </c>
      <c r="H251" t="s">
        <v>297</v>
      </c>
      <c r="J251">
        <v>15</v>
      </c>
      <c r="K251" t="s">
        <v>21</v>
      </c>
      <c r="L251" t="s">
        <v>31</v>
      </c>
      <c r="M251" t="s">
        <v>47</v>
      </c>
      <c r="N251">
        <v>52864.9</v>
      </c>
      <c r="O251">
        <v>13433.13</v>
      </c>
      <c r="P251" t="s">
        <v>24</v>
      </c>
      <c r="Q251" t="s">
        <v>75</v>
      </c>
    </row>
    <row r="252" spans="1:17" x14ac:dyDescent="0.25">
      <c r="A252">
        <v>351</v>
      </c>
      <c r="B252" t="s">
        <v>16</v>
      </c>
      <c r="C252" t="s">
        <v>17</v>
      </c>
      <c r="D252" t="s">
        <v>69</v>
      </c>
      <c r="E252" t="s">
        <v>98</v>
      </c>
      <c r="F252">
        <v>5</v>
      </c>
      <c r="G252">
        <v>73947</v>
      </c>
      <c r="H252" t="s">
        <v>298</v>
      </c>
      <c r="J252">
        <v>15</v>
      </c>
      <c r="K252" t="s">
        <v>21</v>
      </c>
      <c r="L252" t="s">
        <v>55</v>
      </c>
      <c r="M252" t="s">
        <v>32</v>
      </c>
      <c r="N252">
        <v>314274.75</v>
      </c>
      <c r="O252">
        <v>76003.81</v>
      </c>
      <c r="P252" t="s">
        <v>65</v>
      </c>
      <c r="Q252" t="s">
        <v>75</v>
      </c>
    </row>
    <row r="253" spans="1:17" x14ac:dyDescent="0.25">
      <c r="A253">
        <v>352</v>
      </c>
      <c r="B253" t="s">
        <v>115</v>
      </c>
      <c r="C253" t="s">
        <v>17</v>
      </c>
      <c r="D253" t="s">
        <v>69</v>
      </c>
      <c r="E253" t="s">
        <v>70</v>
      </c>
      <c r="F253">
        <v>5</v>
      </c>
      <c r="G253">
        <v>5635</v>
      </c>
      <c r="H253" t="s">
        <v>211</v>
      </c>
      <c r="J253">
        <v>0</v>
      </c>
      <c r="K253" t="s">
        <v>58</v>
      </c>
      <c r="L253" t="s">
        <v>55</v>
      </c>
      <c r="M253" t="s">
        <v>47</v>
      </c>
      <c r="N253">
        <v>28175</v>
      </c>
      <c r="O253">
        <v>2938.34</v>
      </c>
      <c r="P253" t="s">
        <v>65</v>
      </c>
      <c r="Q253" t="s">
        <v>75</v>
      </c>
    </row>
    <row r="254" spans="1:17" x14ac:dyDescent="0.25">
      <c r="A254">
        <v>353</v>
      </c>
      <c r="B254" t="s">
        <v>107</v>
      </c>
      <c r="C254" t="s">
        <v>68</v>
      </c>
      <c r="D254" t="s">
        <v>42</v>
      </c>
      <c r="E254" t="s">
        <v>52</v>
      </c>
      <c r="F254">
        <v>5</v>
      </c>
      <c r="G254">
        <v>23821</v>
      </c>
      <c r="H254" t="s">
        <v>37</v>
      </c>
      <c r="J254">
        <v>0</v>
      </c>
      <c r="K254" t="s">
        <v>74</v>
      </c>
      <c r="L254" t="s">
        <v>55</v>
      </c>
      <c r="M254" t="s">
        <v>100</v>
      </c>
      <c r="N254">
        <v>119105</v>
      </c>
      <c r="O254">
        <v>13140.41</v>
      </c>
      <c r="P254" t="s">
        <v>65</v>
      </c>
      <c r="Q254" t="s">
        <v>25</v>
      </c>
    </row>
    <row r="255" spans="1:17" x14ac:dyDescent="0.25">
      <c r="A255">
        <v>354</v>
      </c>
      <c r="B255" t="s">
        <v>109</v>
      </c>
      <c r="C255" t="s">
        <v>35</v>
      </c>
      <c r="D255" t="s">
        <v>28</v>
      </c>
      <c r="E255" t="s">
        <v>29</v>
      </c>
      <c r="F255">
        <v>2</v>
      </c>
      <c r="G255">
        <v>46084</v>
      </c>
      <c r="H255" t="s">
        <v>299</v>
      </c>
      <c r="J255">
        <v>20</v>
      </c>
      <c r="K255" t="s">
        <v>58</v>
      </c>
      <c r="L255" t="s">
        <v>31</v>
      </c>
      <c r="M255" t="s">
        <v>23</v>
      </c>
      <c r="N255">
        <v>73734.399999999994</v>
      </c>
      <c r="O255">
        <v>14727.59</v>
      </c>
      <c r="P255" t="s">
        <v>24</v>
      </c>
      <c r="Q255" t="s">
        <v>25</v>
      </c>
    </row>
    <row r="256" spans="1:17" x14ac:dyDescent="0.25">
      <c r="A256">
        <v>355</v>
      </c>
      <c r="B256" t="s">
        <v>96</v>
      </c>
      <c r="C256" t="s">
        <v>35</v>
      </c>
      <c r="D256" t="s">
        <v>18</v>
      </c>
      <c r="E256" t="s">
        <v>62</v>
      </c>
      <c r="F256">
        <v>6</v>
      </c>
      <c r="G256">
        <v>66124</v>
      </c>
      <c r="H256" t="s">
        <v>292</v>
      </c>
      <c r="J256">
        <v>10</v>
      </c>
      <c r="K256" t="s">
        <v>58</v>
      </c>
      <c r="L256" t="s">
        <v>55</v>
      </c>
      <c r="M256" t="s">
        <v>32</v>
      </c>
      <c r="N256">
        <v>357069.6</v>
      </c>
      <c r="O256">
        <v>101879.25</v>
      </c>
      <c r="P256" t="s">
        <v>65</v>
      </c>
      <c r="Q256" t="s">
        <v>75</v>
      </c>
    </row>
    <row r="257" spans="1:17" x14ac:dyDescent="0.25">
      <c r="A257">
        <v>356</v>
      </c>
      <c r="B257" t="s">
        <v>94</v>
      </c>
      <c r="C257" t="s">
        <v>35</v>
      </c>
      <c r="D257" t="s">
        <v>28</v>
      </c>
      <c r="E257" t="s">
        <v>48</v>
      </c>
      <c r="F257">
        <v>8</v>
      </c>
      <c r="G257">
        <v>75564</v>
      </c>
      <c r="H257" t="s">
        <v>300</v>
      </c>
      <c r="J257">
        <v>20</v>
      </c>
      <c r="K257" t="s">
        <v>38</v>
      </c>
      <c r="L257" t="s">
        <v>22</v>
      </c>
      <c r="M257" t="s">
        <v>81</v>
      </c>
      <c r="N257">
        <v>483609.59999999998</v>
      </c>
      <c r="O257">
        <v>81497.03</v>
      </c>
      <c r="P257" t="s">
        <v>65</v>
      </c>
      <c r="Q257" t="s">
        <v>56</v>
      </c>
    </row>
    <row r="258" spans="1:17" x14ac:dyDescent="0.25">
      <c r="A258">
        <v>357</v>
      </c>
      <c r="B258" t="s">
        <v>16</v>
      </c>
      <c r="C258" t="s">
        <v>17</v>
      </c>
      <c r="D258" t="s">
        <v>76</v>
      </c>
      <c r="E258" t="s">
        <v>77</v>
      </c>
      <c r="F258">
        <v>7</v>
      </c>
      <c r="G258">
        <v>61540</v>
      </c>
      <c r="H258" t="s">
        <v>301</v>
      </c>
      <c r="J258">
        <v>10</v>
      </c>
      <c r="K258" t="s">
        <v>54</v>
      </c>
      <c r="L258" t="s">
        <v>31</v>
      </c>
      <c r="M258" t="s">
        <v>100</v>
      </c>
      <c r="N258">
        <v>387702</v>
      </c>
      <c r="O258">
        <v>54849.67</v>
      </c>
      <c r="P258" t="s">
        <v>33</v>
      </c>
      <c r="Q258" t="s">
        <v>25</v>
      </c>
    </row>
    <row r="259" spans="1:17" x14ac:dyDescent="0.25">
      <c r="A259">
        <v>358</v>
      </c>
      <c r="B259" t="s">
        <v>115</v>
      </c>
      <c r="C259" t="s">
        <v>35</v>
      </c>
      <c r="D259" t="s">
        <v>69</v>
      </c>
      <c r="E259" t="s">
        <v>70</v>
      </c>
      <c r="F259">
        <v>7</v>
      </c>
      <c r="G259">
        <v>76107</v>
      </c>
      <c r="H259" t="s">
        <v>302</v>
      </c>
      <c r="J259">
        <v>0</v>
      </c>
      <c r="K259" t="s">
        <v>38</v>
      </c>
      <c r="L259" t="s">
        <v>31</v>
      </c>
      <c r="M259" t="s">
        <v>64</v>
      </c>
      <c r="N259">
        <v>532749</v>
      </c>
      <c r="O259">
        <v>89818.5</v>
      </c>
      <c r="P259" t="s">
        <v>40</v>
      </c>
      <c r="Q259" t="s">
        <v>75</v>
      </c>
    </row>
    <row r="260" spans="1:17" x14ac:dyDescent="0.25">
      <c r="A260">
        <v>359</v>
      </c>
      <c r="B260" t="s">
        <v>91</v>
      </c>
      <c r="C260" t="s">
        <v>17</v>
      </c>
      <c r="D260" t="s">
        <v>42</v>
      </c>
      <c r="E260" t="s">
        <v>59</v>
      </c>
      <c r="F260">
        <v>9</v>
      </c>
      <c r="G260">
        <v>1670</v>
      </c>
      <c r="H260" t="s">
        <v>303</v>
      </c>
      <c r="J260">
        <v>20</v>
      </c>
      <c r="K260" t="s">
        <v>74</v>
      </c>
      <c r="L260" t="s">
        <v>55</v>
      </c>
      <c r="M260" t="s">
        <v>100</v>
      </c>
      <c r="N260">
        <v>12024</v>
      </c>
      <c r="O260">
        <v>965.89</v>
      </c>
      <c r="P260" t="s">
        <v>24</v>
      </c>
      <c r="Q260" t="s">
        <v>56</v>
      </c>
    </row>
    <row r="261" spans="1:17" x14ac:dyDescent="0.25">
      <c r="A261">
        <v>360</v>
      </c>
      <c r="B261" t="s">
        <v>91</v>
      </c>
      <c r="C261" t="s">
        <v>68</v>
      </c>
      <c r="D261" t="s">
        <v>42</v>
      </c>
      <c r="E261" t="s">
        <v>52</v>
      </c>
      <c r="F261">
        <v>3</v>
      </c>
      <c r="G261">
        <v>73606</v>
      </c>
      <c r="H261" t="s">
        <v>20</v>
      </c>
      <c r="J261">
        <v>20</v>
      </c>
      <c r="K261" t="s">
        <v>21</v>
      </c>
      <c r="L261" t="s">
        <v>55</v>
      </c>
      <c r="M261" t="s">
        <v>64</v>
      </c>
      <c r="N261">
        <v>176654.4</v>
      </c>
      <c r="O261">
        <v>42182.31</v>
      </c>
      <c r="P261" t="s">
        <v>40</v>
      </c>
      <c r="Q261" t="s">
        <v>75</v>
      </c>
    </row>
    <row r="262" spans="1:17" x14ac:dyDescent="0.25">
      <c r="A262">
        <v>361</v>
      </c>
      <c r="B262" t="s">
        <v>34</v>
      </c>
      <c r="C262" t="s">
        <v>27</v>
      </c>
      <c r="D262" t="s">
        <v>69</v>
      </c>
      <c r="E262" t="s">
        <v>70</v>
      </c>
      <c r="F262">
        <v>9</v>
      </c>
      <c r="G262">
        <v>28463</v>
      </c>
      <c r="H262" t="s">
        <v>208</v>
      </c>
      <c r="J262">
        <v>20</v>
      </c>
      <c r="K262" t="s">
        <v>45</v>
      </c>
      <c r="L262" t="s">
        <v>31</v>
      </c>
      <c r="M262" t="s">
        <v>64</v>
      </c>
      <c r="N262">
        <v>204933.6</v>
      </c>
      <c r="O262">
        <v>38649.31</v>
      </c>
      <c r="P262" t="s">
        <v>24</v>
      </c>
      <c r="Q262" t="s">
        <v>75</v>
      </c>
    </row>
    <row r="263" spans="1:17" x14ac:dyDescent="0.25">
      <c r="A263">
        <v>362</v>
      </c>
      <c r="B263" t="s">
        <v>107</v>
      </c>
      <c r="C263" t="s">
        <v>35</v>
      </c>
      <c r="D263" t="s">
        <v>69</v>
      </c>
      <c r="E263" t="s">
        <v>70</v>
      </c>
      <c r="F263">
        <v>4</v>
      </c>
      <c r="G263">
        <v>14161</v>
      </c>
      <c r="H263" t="s">
        <v>292</v>
      </c>
      <c r="J263">
        <v>0</v>
      </c>
      <c r="K263" t="s">
        <v>45</v>
      </c>
      <c r="L263" t="s">
        <v>46</v>
      </c>
      <c r="M263" t="s">
        <v>50</v>
      </c>
      <c r="N263">
        <v>56644</v>
      </c>
      <c r="O263">
        <v>8871.31</v>
      </c>
      <c r="P263" t="s">
        <v>40</v>
      </c>
      <c r="Q263" t="s">
        <v>75</v>
      </c>
    </row>
    <row r="264" spans="1:17" x14ac:dyDescent="0.25">
      <c r="A264">
        <v>363</v>
      </c>
      <c r="B264" t="s">
        <v>115</v>
      </c>
      <c r="C264" t="s">
        <v>17</v>
      </c>
      <c r="D264" t="s">
        <v>28</v>
      </c>
      <c r="E264" t="s">
        <v>29</v>
      </c>
      <c r="F264">
        <v>2</v>
      </c>
      <c r="G264">
        <v>66111</v>
      </c>
      <c r="H264" t="s">
        <v>242</v>
      </c>
      <c r="J264">
        <v>15</v>
      </c>
      <c r="K264" t="s">
        <v>38</v>
      </c>
      <c r="L264" t="s">
        <v>31</v>
      </c>
      <c r="M264" t="s">
        <v>32</v>
      </c>
      <c r="N264">
        <v>112388.7</v>
      </c>
      <c r="O264">
        <v>14529.61</v>
      </c>
      <c r="P264" t="s">
        <v>24</v>
      </c>
      <c r="Q264" t="s">
        <v>56</v>
      </c>
    </row>
    <row r="265" spans="1:17" x14ac:dyDescent="0.25">
      <c r="A265">
        <v>364</v>
      </c>
      <c r="B265" t="s">
        <v>67</v>
      </c>
      <c r="C265" t="s">
        <v>17</v>
      </c>
      <c r="D265" t="s">
        <v>42</v>
      </c>
      <c r="E265" t="s">
        <v>59</v>
      </c>
      <c r="F265">
        <v>4</v>
      </c>
      <c r="G265">
        <v>64529</v>
      </c>
      <c r="H265" t="s">
        <v>304</v>
      </c>
      <c r="J265">
        <v>20</v>
      </c>
      <c r="K265" t="s">
        <v>54</v>
      </c>
      <c r="L265" t="s">
        <v>22</v>
      </c>
      <c r="M265" t="s">
        <v>47</v>
      </c>
      <c r="N265">
        <v>206492.79999999999</v>
      </c>
      <c r="O265">
        <v>48147.1</v>
      </c>
      <c r="P265" t="s">
        <v>65</v>
      </c>
      <c r="Q265" t="s">
        <v>75</v>
      </c>
    </row>
    <row r="266" spans="1:17" x14ac:dyDescent="0.25">
      <c r="A266">
        <v>365</v>
      </c>
      <c r="B266" t="s">
        <v>61</v>
      </c>
      <c r="C266" t="s">
        <v>35</v>
      </c>
      <c r="D266" t="s">
        <v>28</v>
      </c>
      <c r="E266" t="s">
        <v>48</v>
      </c>
      <c r="F266">
        <v>6</v>
      </c>
      <c r="G266">
        <v>31093</v>
      </c>
      <c r="H266" t="s">
        <v>305</v>
      </c>
      <c r="J266">
        <v>10</v>
      </c>
      <c r="K266" t="s">
        <v>21</v>
      </c>
      <c r="L266" t="s">
        <v>46</v>
      </c>
      <c r="M266" t="s">
        <v>100</v>
      </c>
      <c r="N266">
        <v>167902.2</v>
      </c>
      <c r="O266">
        <v>22319.11</v>
      </c>
      <c r="P266" t="s">
        <v>40</v>
      </c>
      <c r="Q266" t="s">
        <v>75</v>
      </c>
    </row>
    <row r="267" spans="1:17" x14ac:dyDescent="0.25">
      <c r="A267">
        <v>366</v>
      </c>
      <c r="B267" t="s">
        <v>79</v>
      </c>
      <c r="C267" t="s">
        <v>27</v>
      </c>
      <c r="D267" t="s">
        <v>76</v>
      </c>
      <c r="E267" t="s">
        <v>92</v>
      </c>
      <c r="F267">
        <v>5</v>
      </c>
      <c r="G267">
        <v>74110</v>
      </c>
      <c r="H267" t="s">
        <v>181</v>
      </c>
      <c r="J267">
        <v>0</v>
      </c>
      <c r="K267" t="s">
        <v>45</v>
      </c>
      <c r="L267" t="s">
        <v>46</v>
      </c>
      <c r="M267" t="s">
        <v>50</v>
      </c>
      <c r="N267">
        <v>370550</v>
      </c>
      <c r="O267">
        <v>45232.18</v>
      </c>
      <c r="P267" t="s">
        <v>65</v>
      </c>
      <c r="Q267" t="s">
        <v>75</v>
      </c>
    </row>
    <row r="268" spans="1:17" x14ac:dyDescent="0.25">
      <c r="A268">
        <v>367</v>
      </c>
      <c r="B268" t="s">
        <v>115</v>
      </c>
      <c r="C268" t="s">
        <v>27</v>
      </c>
      <c r="D268" t="s">
        <v>42</v>
      </c>
      <c r="E268" t="s">
        <v>59</v>
      </c>
      <c r="F268">
        <v>7</v>
      </c>
      <c r="G268">
        <v>9565</v>
      </c>
      <c r="H268" t="s">
        <v>306</v>
      </c>
      <c r="J268">
        <v>5</v>
      </c>
      <c r="K268" t="s">
        <v>74</v>
      </c>
      <c r="L268" t="s">
        <v>31</v>
      </c>
      <c r="M268" t="s">
        <v>47</v>
      </c>
      <c r="N268">
        <v>63607.25</v>
      </c>
      <c r="O268">
        <v>13026.17</v>
      </c>
      <c r="P268" t="s">
        <v>40</v>
      </c>
      <c r="Q268" t="s">
        <v>75</v>
      </c>
    </row>
    <row r="269" spans="1:17" x14ac:dyDescent="0.25">
      <c r="A269">
        <v>368</v>
      </c>
      <c r="B269" t="s">
        <v>16</v>
      </c>
      <c r="C269" t="s">
        <v>68</v>
      </c>
      <c r="D269" t="s">
        <v>18</v>
      </c>
      <c r="E269" t="s">
        <v>19</v>
      </c>
      <c r="F269">
        <v>5</v>
      </c>
      <c r="G269">
        <v>13303</v>
      </c>
      <c r="H269" t="s">
        <v>307</v>
      </c>
      <c r="J269">
        <v>10</v>
      </c>
      <c r="K269" t="s">
        <v>74</v>
      </c>
      <c r="L269" t="s">
        <v>46</v>
      </c>
      <c r="M269" t="s">
        <v>32</v>
      </c>
      <c r="N269">
        <v>59863.5</v>
      </c>
      <c r="O269">
        <v>13548.91</v>
      </c>
      <c r="P269" t="s">
        <v>40</v>
      </c>
      <c r="Q269" t="s">
        <v>25</v>
      </c>
    </row>
    <row r="270" spans="1:17" x14ac:dyDescent="0.25">
      <c r="A270">
        <v>369</v>
      </c>
      <c r="B270" t="s">
        <v>51</v>
      </c>
      <c r="C270" t="s">
        <v>27</v>
      </c>
      <c r="D270" t="s">
        <v>18</v>
      </c>
      <c r="E270" t="s">
        <v>36</v>
      </c>
      <c r="F270">
        <v>5</v>
      </c>
      <c r="G270">
        <v>42632</v>
      </c>
      <c r="H270" t="s">
        <v>308</v>
      </c>
      <c r="J270">
        <v>0</v>
      </c>
      <c r="K270" t="s">
        <v>38</v>
      </c>
      <c r="L270" t="s">
        <v>22</v>
      </c>
      <c r="M270" t="s">
        <v>50</v>
      </c>
      <c r="N270">
        <v>213160</v>
      </c>
      <c r="O270">
        <v>56084.93</v>
      </c>
      <c r="P270" t="s">
        <v>24</v>
      </c>
      <c r="Q270" t="s">
        <v>56</v>
      </c>
    </row>
    <row r="271" spans="1:17" x14ac:dyDescent="0.25">
      <c r="A271">
        <v>370</v>
      </c>
      <c r="B271" t="s">
        <v>16</v>
      </c>
      <c r="C271" t="s">
        <v>68</v>
      </c>
      <c r="D271" t="s">
        <v>18</v>
      </c>
      <c r="E271" t="s">
        <v>19</v>
      </c>
      <c r="F271">
        <v>8</v>
      </c>
      <c r="G271">
        <v>76152</v>
      </c>
      <c r="H271" t="s">
        <v>309</v>
      </c>
      <c r="J271">
        <v>5</v>
      </c>
      <c r="K271" t="s">
        <v>45</v>
      </c>
      <c r="L271" t="s">
        <v>46</v>
      </c>
      <c r="M271" t="s">
        <v>32</v>
      </c>
      <c r="N271">
        <v>578755.19999999995</v>
      </c>
      <c r="O271">
        <v>103053.46</v>
      </c>
      <c r="P271" t="s">
        <v>33</v>
      </c>
      <c r="Q271" t="s">
        <v>25</v>
      </c>
    </row>
    <row r="272" spans="1:17" x14ac:dyDescent="0.25">
      <c r="A272">
        <v>371</v>
      </c>
      <c r="B272" t="s">
        <v>96</v>
      </c>
      <c r="C272" t="s">
        <v>35</v>
      </c>
      <c r="D272" t="s">
        <v>42</v>
      </c>
      <c r="E272" t="s">
        <v>59</v>
      </c>
      <c r="F272">
        <v>8</v>
      </c>
      <c r="G272">
        <v>23735</v>
      </c>
      <c r="H272" t="s">
        <v>310</v>
      </c>
      <c r="J272">
        <v>0</v>
      </c>
      <c r="K272" t="s">
        <v>38</v>
      </c>
      <c r="L272" t="s">
        <v>46</v>
      </c>
      <c r="M272" t="s">
        <v>81</v>
      </c>
      <c r="N272">
        <v>189880</v>
      </c>
      <c r="O272">
        <v>51783.9</v>
      </c>
      <c r="P272" t="s">
        <v>65</v>
      </c>
      <c r="Q272" t="s">
        <v>75</v>
      </c>
    </row>
    <row r="273" spans="1:17" x14ac:dyDescent="0.25">
      <c r="A273">
        <v>372</v>
      </c>
      <c r="B273" t="s">
        <v>109</v>
      </c>
      <c r="C273" t="s">
        <v>35</v>
      </c>
      <c r="D273" t="s">
        <v>18</v>
      </c>
      <c r="E273" t="s">
        <v>36</v>
      </c>
      <c r="F273">
        <v>8</v>
      </c>
      <c r="G273">
        <v>4092</v>
      </c>
      <c r="H273" t="s">
        <v>311</v>
      </c>
      <c r="J273">
        <v>10</v>
      </c>
      <c r="K273" t="s">
        <v>58</v>
      </c>
      <c r="L273" t="s">
        <v>55</v>
      </c>
      <c r="M273" t="s">
        <v>39</v>
      </c>
      <c r="N273">
        <v>29462.400000000001</v>
      </c>
      <c r="O273">
        <v>2728.85</v>
      </c>
      <c r="P273" t="s">
        <v>40</v>
      </c>
      <c r="Q273" t="s">
        <v>75</v>
      </c>
    </row>
    <row r="274" spans="1:17" x14ac:dyDescent="0.25">
      <c r="A274">
        <v>373</v>
      </c>
      <c r="B274" t="s">
        <v>67</v>
      </c>
      <c r="C274" t="s">
        <v>17</v>
      </c>
      <c r="D274" t="s">
        <v>69</v>
      </c>
      <c r="E274" t="s">
        <v>98</v>
      </c>
      <c r="F274">
        <v>4</v>
      </c>
      <c r="G274">
        <v>13429</v>
      </c>
      <c r="H274" t="s">
        <v>184</v>
      </c>
      <c r="J274">
        <v>10</v>
      </c>
      <c r="K274" t="s">
        <v>58</v>
      </c>
      <c r="L274" t="s">
        <v>46</v>
      </c>
      <c r="M274" t="s">
        <v>47</v>
      </c>
      <c r="N274">
        <v>48344.4</v>
      </c>
      <c r="O274">
        <v>4438.0200000000004</v>
      </c>
      <c r="P274" t="s">
        <v>24</v>
      </c>
      <c r="Q274" t="s">
        <v>56</v>
      </c>
    </row>
    <row r="275" spans="1:17" x14ac:dyDescent="0.25">
      <c r="A275">
        <v>374</v>
      </c>
      <c r="B275" t="s">
        <v>79</v>
      </c>
      <c r="C275" t="s">
        <v>27</v>
      </c>
      <c r="D275" t="s">
        <v>42</v>
      </c>
      <c r="E275" t="s">
        <v>43</v>
      </c>
      <c r="F275">
        <v>3</v>
      </c>
      <c r="G275">
        <v>64997</v>
      </c>
      <c r="H275" t="s">
        <v>312</v>
      </c>
      <c r="J275">
        <v>5</v>
      </c>
      <c r="K275" t="s">
        <v>38</v>
      </c>
      <c r="L275" t="s">
        <v>46</v>
      </c>
      <c r="M275" t="s">
        <v>81</v>
      </c>
      <c r="N275">
        <v>185241.45</v>
      </c>
      <c r="O275">
        <v>49168.29</v>
      </c>
      <c r="P275" t="s">
        <v>65</v>
      </c>
      <c r="Q275" t="s">
        <v>75</v>
      </c>
    </row>
    <row r="276" spans="1:17" x14ac:dyDescent="0.25">
      <c r="A276">
        <v>375</v>
      </c>
      <c r="B276" t="s">
        <v>26</v>
      </c>
      <c r="C276" t="s">
        <v>35</v>
      </c>
      <c r="D276" t="s">
        <v>18</v>
      </c>
      <c r="E276" t="s">
        <v>19</v>
      </c>
      <c r="F276">
        <v>1</v>
      </c>
      <c r="G276">
        <v>77242</v>
      </c>
      <c r="H276" t="s">
        <v>313</v>
      </c>
      <c r="J276">
        <v>5</v>
      </c>
      <c r="K276" t="s">
        <v>38</v>
      </c>
      <c r="L276" t="s">
        <v>22</v>
      </c>
      <c r="M276" t="s">
        <v>32</v>
      </c>
      <c r="N276">
        <v>73379.899999999994</v>
      </c>
      <c r="O276">
        <v>13536.35</v>
      </c>
      <c r="P276" t="s">
        <v>40</v>
      </c>
      <c r="Q276" t="s">
        <v>25</v>
      </c>
    </row>
    <row r="277" spans="1:17" x14ac:dyDescent="0.25">
      <c r="A277">
        <v>376</v>
      </c>
      <c r="B277" t="s">
        <v>61</v>
      </c>
      <c r="C277" t="s">
        <v>35</v>
      </c>
      <c r="D277" t="s">
        <v>69</v>
      </c>
      <c r="E277" t="s">
        <v>98</v>
      </c>
      <c r="F277">
        <v>9</v>
      </c>
      <c r="G277">
        <v>48112</v>
      </c>
      <c r="H277" t="s">
        <v>314</v>
      </c>
      <c r="J277">
        <v>10</v>
      </c>
      <c r="K277" t="s">
        <v>21</v>
      </c>
      <c r="L277" t="s">
        <v>31</v>
      </c>
      <c r="M277" t="s">
        <v>100</v>
      </c>
      <c r="N277">
        <v>389707.2</v>
      </c>
      <c r="O277">
        <v>78698.240000000005</v>
      </c>
      <c r="P277" t="s">
        <v>33</v>
      </c>
      <c r="Q277" t="s">
        <v>56</v>
      </c>
    </row>
    <row r="278" spans="1:17" x14ac:dyDescent="0.25">
      <c r="A278">
        <v>377</v>
      </c>
      <c r="B278" t="s">
        <v>107</v>
      </c>
      <c r="C278" t="s">
        <v>35</v>
      </c>
      <c r="D278" t="s">
        <v>28</v>
      </c>
      <c r="E278" t="s">
        <v>48</v>
      </c>
      <c r="F278">
        <v>5</v>
      </c>
      <c r="G278">
        <v>78536</v>
      </c>
      <c r="H278" t="s">
        <v>315</v>
      </c>
      <c r="J278">
        <v>20</v>
      </c>
      <c r="K278" t="s">
        <v>58</v>
      </c>
      <c r="L278" t="s">
        <v>55</v>
      </c>
      <c r="M278" t="s">
        <v>47</v>
      </c>
      <c r="N278">
        <v>314144</v>
      </c>
      <c r="O278">
        <v>74230.570000000007</v>
      </c>
      <c r="P278" t="s">
        <v>65</v>
      </c>
      <c r="Q278" t="s">
        <v>75</v>
      </c>
    </row>
    <row r="279" spans="1:17" x14ac:dyDescent="0.25">
      <c r="A279">
        <v>378</v>
      </c>
      <c r="B279" t="s">
        <v>94</v>
      </c>
      <c r="C279" t="s">
        <v>17</v>
      </c>
      <c r="D279" t="s">
        <v>76</v>
      </c>
      <c r="E279" t="s">
        <v>101</v>
      </c>
      <c r="F279">
        <v>2</v>
      </c>
      <c r="G279">
        <v>14349</v>
      </c>
      <c r="H279" t="s">
        <v>316</v>
      </c>
      <c r="J279">
        <v>5</v>
      </c>
      <c r="K279" t="s">
        <v>54</v>
      </c>
      <c r="L279" t="s">
        <v>31</v>
      </c>
      <c r="M279" t="s">
        <v>50</v>
      </c>
      <c r="N279">
        <v>27263.1</v>
      </c>
      <c r="O279">
        <v>4459.75</v>
      </c>
      <c r="P279" t="s">
        <v>24</v>
      </c>
      <c r="Q279" t="s">
        <v>25</v>
      </c>
    </row>
    <row r="280" spans="1:17" x14ac:dyDescent="0.25">
      <c r="A280">
        <v>379</v>
      </c>
      <c r="B280" t="s">
        <v>96</v>
      </c>
      <c r="C280" t="s">
        <v>17</v>
      </c>
      <c r="D280" t="s">
        <v>18</v>
      </c>
      <c r="E280" t="s">
        <v>62</v>
      </c>
      <c r="F280">
        <v>10</v>
      </c>
      <c r="G280">
        <v>15334</v>
      </c>
      <c r="H280" t="s">
        <v>317</v>
      </c>
      <c r="J280">
        <v>5</v>
      </c>
      <c r="K280" t="s">
        <v>58</v>
      </c>
      <c r="L280" t="s">
        <v>46</v>
      </c>
      <c r="M280" t="s">
        <v>64</v>
      </c>
      <c r="N280">
        <v>145673</v>
      </c>
      <c r="O280">
        <v>27044.42</v>
      </c>
      <c r="P280" t="s">
        <v>40</v>
      </c>
      <c r="Q280" t="s">
        <v>25</v>
      </c>
    </row>
    <row r="281" spans="1:17" x14ac:dyDescent="0.25">
      <c r="A281">
        <v>380</v>
      </c>
      <c r="B281" t="s">
        <v>67</v>
      </c>
      <c r="C281" t="s">
        <v>27</v>
      </c>
      <c r="D281" t="s">
        <v>28</v>
      </c>
      <c r="E281" t="s">
        <v>48</v>
      </c>
      <c r="F281">
        <v>8</v>
      </c>
      <c r="G281">
        <v>20210</v>
      </c>
      <c r="H281" t="s">
        <v>318</v>
      </c>
      <c r="J281">
        <v>20</v>
      </c>
      <c r="K281" t="s">
        <v>58</v>
      </c>
      <c r="L281" t="s">
        <v>31</v>
      </c>
      <c r="M281" t="s">
        <v>81</v>
      </c>
      <c r="N281">
        <v>129344</v>
      </c>
      <c r="O281">
        <v>22133.95</v>
      </c>
      <c r="P281" t="s">
        <v>65</v>
      </c>
      <c r="Q281" t="s">
        <v>75</v>
      </c>
    </row>
    <row r="282" spans="1:17" x14ac:dyDescent="0.25">
      <c r="A282">
        <v>381</v>
      </c>
      <c r="B282" t="s">
        <v>109</v>
      </c>
      <c r="C282" t="s">
        <v>27</v>
      </c>
      <c r="D282" t="s">
        <v>76</v>
      </c>
      <c r="E282" t="s">
        <v>101</v>
      </c>
      <c r="F282">
        <v>1</v>
      </c>
      <c r="G282">
        <v>36184</v>
      </c>
      <c r="H282" t="s">
        <v>193</v>
      </c>
      <c r="J282">
        <v>5</v>
      </c>
      <c r="K282" t="s">
        <v>58</v>
      </c>
      <c r="L282" t="s">
        <v>55</v>
      </c>
      <c r="M282" t="s">
        <v>47</v>
      </c>
      <c r="N282">
        <v>34374.800000000003</v>
      </c>
      <c r="O282">
        <v>3633.62</v>
      </c>
      <c r="P282" t="s">
        <v>24</v>
      </c>
      <c r="Q282" t="s">
        <v>56</v>
      </c>
    </row>
    <row r="283" spans="1:17" x14ac:dyDescent="0.25">
      <c r="A283">
        <v>382</v>
      </c>
      <c r="B283" t="s">
        <v>107</v>
      </c>
      <c r="C283" t="s">
        <v>17</v>
      </c>
      <c r="D283" t="s">
        <v>18</v>
      </c>
      <c r="E283" t="s">
        <v>62</v>
      </c>
      <c r="F283">
        <v>10</v>
      </c>
      <c r="G283">
        <v>28500</v>
      </c>
      <c r="H283" t="s">
        <v>291</v>
      </c>
      <c r="J283">
        <v>20</v>
      </c>
      <c r="K283" t="s">
        <v>54</v>
      </c>
      <c r="L283" t="s">
        <v>31</v>
      </c>
      <c r="M283" t="s">
        <v>50</v>
      </c>
      <c r="N283">
        <v>228000</v>
      </c>
      <c r="O283">
        <v>22565.18</v>
      </c>
      <c r="P283" t="s">
        <v>24</v>
      </c>
      <c r="Q283" t="s">
        <v>75</v>
      </c>
    </row>
    <row r="284" spans="1:17" x14ac:dyDescent="0.25">
      <c r="A284">
        <v>383</v>
      </c>
      <c r="B284" t="s">
        <v>26</v>
      </c>
      <c r="C284" t="s">
        <v>35</v>
      </c>
      <c r="D284" t="s">
        <v>28</v>
      </c>
      <c r="E284" t="s">
        <v>48</v>
      </c>
      <c r="F284">
        <v>6</v>
      </c>
      <c r="G284">
        <v>28764</v>
      </c>
      <c r="H284" t="s">
        <v>319</v>
      </c>
      <c r="J284">
        <v>5</v>
      </c>
      <c r="K284" t="s">
        <v>74</v>
      </c>
      <c r="L284" t="s">
        <v>46</v>
      </c>
      <c r="M284" t="s">
        <v>23</v>
      </c>
      <c r="N284">
        <v>163954.79999999999</v>
      </c>
      <c r="O284">
        <v>20854.96</v>
      </c>
      <c r="P284" t="s">
        <v>24</v>
      </c>
      <c r="Q284" t="s">
        <v>56</v>
      </c>
    </row>
    <row r="285" spans="1:17" x14ac:dyDescent="0.25">
      <c r="A285">
        <v>384</v>
      </c>
      <c r="B285" t="s">
        <v>41</v>
      </c>
      <c r="C285" t="s">
        <v>27</v>
      </c>
      <c r="D285" t="s">
        <v>69</v>
      </c>
      <c r="E285" t="s">
        <v>98</v>
      </c>
      <c r="F285">
        <v>5</v>
      </c>
      <c r="G285">
        <v>31187</v>
      </c>
      <c r="H285" t="s">
        <v>190</v>
      </c>
      <c r="J285">
        <v>0</v>
      </c>
      <c r="K285" t="s">
        <v>21</v>
      </c>
      <c r="L285" t="s">
        <v>55</v>
      </c>
      <c r="M285" t="s">
        <v>32</v>
      </c>
      <c r="N285">
        <v>155935</v>
      </c>
      <c r="O285">
        <v>12625.68</v>
      </c>
      <c r="P285" t="s">
        <v>33</v>
      </c>
      <c r="Q285" t="s">
        <v>75</v>
      </c>
    </row>
    <row r="286" spans="1:17" x14ac:dyDescent="0.25">
      <c r="A286">
        <v>385</v>
      </c>
      <c r="B286" t="s">
        <v>94</v>
      </c>
      <c r="C286" t="s">
        <v>27</v>
      </c>
      <c r="D286" t="s">
        <v>28</v>
      </c>
      <c r="E286" t="s">
        <v>29</v>
      </c>
      <c r="F286">
        <v>2</v>
      </c>
      <c r="G286">
        <v>11856</v>
      </c>
      <c r="H286" t="s">
        <v>320</v>
      </c>
      <c r="J286">
        <v>5</v>
      </c>
      <c r="K286" t="s">
        <v>74</v>
      </c>
      <c r="L286" t="s">
        <v>46</v>
      </c>
      <c r="M286" t="s">
        <v>100</v>
      </c>
      <c r="N286">
        <v>22526.400000000001</v>
      </c>
      <c r="O286">
        <v>2646.89</v>
      </c>
      <c r="P286" t="s">
        <v>24</v>
      </c>
      <c r="Q286" t="s">
        <v>56</v>
      </c>
    </row>
    <row r="287" spans="1:17" x14ac:dyDescent="0.25">
      <c r="A287">
        <v>386</v>
      </c>
      <c r="B287" t="s">
        <v>84</v>
      </c>
      <c r="C287" t="s">
        <v>35</v>
      </c>
      <c r="D287" t="s">
        <v>42</v>
      </c>
      <c r="E287" t="s">
        <v>59</v>
      </c>
      <c r="F287">
        <v>9</v>
      </c>
      <c r="G287">
        <v>26603</v>
      </c>
      <c r="H287" t="s">
        <v>321</v>
      </c>
      <c r="J287">
        <v>0</v>
      </c>
      <c r="K287" t="s">
        <v>74</v>
      </c>
      <c r="L287" t="s">
        <v>46</v>
      </c>
      <c r="M287" t="s">
        <v>39</v>
      </c>
      <c r="N287">
        <v>239427</v>
      </c>
      <c r="O287">
        <v>47559.29</v>
      </c>
      <c r="P287" t="s">
        <v>40</v>
      </c>
      <c r="Q287" t="s">
        <v>75</v>
      </c>
    </row>
    <row r="288" spans="1:17" x14ac:dyDescent="0.25">
      <c r="A288">
        <v>387</v>
      </c>
      <c r="B288" t="s">
        <v>51</v>
      </c>
      <c r="C288" t="s">
        <v>68</v>
      </c>
      <c r="D288" t="s">
        <v>42</v>
      </c>
      <c r="E288" t="s">
        <v>43</v>
      </c>
      <c r="F288">
        <v>2</v>
      </c>
      <c r="G288">
        <v>19762</v>
      </c>
      <c r="H288" t="s">
        <v>322</v>
      </c>
      <c r="J288">
        <v>0</v>
      </c>
      <c r="K288" t="s">
        <v>21</v>
      </c>
      <c r="L288" t="s">
        <v>55</v>
      </c>
      <c r="M288" t="s">
        <v>100</v>
      </c>
      <c r="N288">
        <v>39524</v>
      </c>
      <c r="O288">
        <v>4505.7700000000004</v>
      </c>
      <c r="P288" t="s">
        <v>65</v>
      </c>
      <c r="Q288" t="s">
        <v>25</v>
      </c>
    </row>
    <row r="289" spans="1:17" x14ac:dyDescent="0.25">
      <c r="A289">
        <v>388</v>
      </c>
      <c r="B289" t="s">
        <v>26</v>
      </c>
      <c r="C289" t="s">
        <v>27</v>
      </c>
      <c r="D289" t="s">
        <v>28</v>
      </c>
      <c r="E289" t="s">
        <v>29</v>
      </c>
      <c r="F289">
        <v>8</v>
      </c>
      <c r="G289">
        <v>24383</v>
      </c>
      <c r="H289" t="s">
        <v>323</v>
      </c>
      <c r="J289">
        <v>10</v>
      </c>
      <c r="K289" t="s">
        <v>21</v>
      </c>
      <c r="L289" t="s">
        <v>22</v>
      </c>
      <c r="M289" t="s">
        <v>32</v>
      </c>
      <c r="N289">
        <v>175557.6</v>
      </c>
      <c r="O289">
        <v>47800.77</v>
      </c>
      <c r="P289" t="s">
        <v>65</v>
      </c>
      <c r="Q289" t="s">
        <v>25</v>
      </c>
    </row>
    <row r="290" spans="1:17" x14ac:dyDescent="0.25">
      <c r="A290">
        <v>389</v>
      </c>
      <c r="B290" t="s">
        <v>34</v>
      </c>
      <c r="C290" t="s">
        <v>17</v>
      </c>
      <c r="D290" t="s">
        <v>69</v>
      </c>
      <c r="E290" t="s">
        <v>98</v>
      </c>
      <c r="F290">
        <v>10</v>
      </c>
      <c r="G290">
        <v>58768</v>
      </c>
      <c r="H290" t="s">
        <v>324</v>
      </c>
      <c r="J290">
        <v>10</v>
      </c>
      <c r="K290" t="s">
        <v>58</v>
      </c>
      <c r="L290" t="s">
        <v>46</v>
      </c>
      <c r="M290" t="s">
        <v>100</v>
      </c>
      <c r="N290">
        <v>528912</v>
      </c>
      <c r="O290">
        <v>45313.65</v>
      </c>
      <c r="P290" t="s">
        <v>24</v>
      </c>
      <c r="Q290" t="s">
        <v>56</v>
      </c>
    </row>
    <row r="291" spans="1:17" x14ac:dyDescent="0.25">
      <c r="A291">
        <v>390</v>
      </c>
      <c r="B291" t="s">
        <v>41</v>
      </c>
      <c r="C291" t="s">
        <v>35</v>
      </c>
      <c r="D291" t="s">
        <v>69</v>
      </c>
      <c r="E291" t="s">
        <v>70</v>
      </c>
      <c r="F291">
        <v>1</v>
      </c>
      <c r="G291">
        <v>4612</v>
      </c>
      <c r="H291" t="s">
        <v>73</v>
      </c>
      <c r="J291">
        <v>10</v>
      </c>
      <c r="K291" t="s">
        <v>54</v>
      </c>
      <c r="L291" t="s">
        <v>55</v>
      </c>
      <c r="M291" t="s">
        <v>50</v>
      </c>
      <c r="N291">
        <v>4150.8</v>
      </c>
      <c r="O291">
        <v>493.51</v>
      </c>
      <c r="P291" t="s">
        <v>40</v>
      </c>
      <c r="Q291" t="s">
        <v>75</v>
      </c>
    </row>
    <row r="292" spans="1:17" x14ac:dyDescent="0.25">
      <c r="A292">
        <v>391</v>
      </c>
      <c r="B292" t="s">
        <v>84</v>
      </c>
      <c r="C292" t="s">
        <v>35</v>
      </c>
      <c r="D292" t="s">
        <v>42</v>
      </c>
      <c r="E292" t="s">
        <v>43</v>
      </c>
      <c r="F292">
        <v>8</v>
      </c>
      <c r="G292">
        <v>29783</v>
      </c>
      <c r="H292" t="s">
        <v>325</v>
      </c>
      <c r="J292">
        <v>0</v>
      </c>
      <c r="K292" t="s">
        <v>54</v>
      </c>
      <c r="L292" t="s">
        <v>46</v>
      </c>
      <c r="M292" t="s">
        <v>23</v>
      </c>
      <c r="N292">
        <v>238264</v>
      </c>
      <c r="O292">
        <v>61414.17</v>
      </c>
      <c r="P292" t="s">
        <v>24</v>
      </c>
      <c r="Q292" t="s">
        <v>56</v>
      </c>
    </row>
    <row r="293" spans="1:17" x14ac:dyDescent="0.25">
      <c r="A293">
        <v>392</v>
      </c>
      <c r="B293" t="s">
        <v>107</v>
      </c>
      <c r="C293" t="s">
        <v>68</v>
      </c>
      <c r="D293" t="s">
        <v>18</v>
      </c>
      <c r="E293" t="s">
        <v>62</v>
      </c>
      <c r="F293">
        <v>6</v>
      </c>
      <c r="G293">
        <v>51052</v>
      </c>
      <c r="H293" t="s">
        <v>326</v>
      </c>
      <c r="J293">
        <v>10</v>
      </c>
      <c r="K293" t="s">
        <v>38</v>
      </c>
      <c r="L293" t="s">
        <v>55</v>
      </c>
      <c r="M293" t="s">
        <v>81</v>
      </c>
      <c r="N293">
        <v>275680.8</v>
      </c>
      <c r="O293">
        <v>60308.480000000003</v>
      </c>
      <c r="P293" t="s">
        <v>40</v>
      </c>
      <c r="Q293" t="s">
        <v>25</v>
      </c>
    </row>
    <row r="294" spans="1:17" x14ac:dyDescent="0.25">
      <c r="A294">
        <v>393</v>
      </c>
      <c r="B294" t="s">
        <v>115</v>
      </c>
      <c r="C294" t="s">
        <v>27</v>
      </c>
      <c r="D294" t="s">
        <v>76</v>
      </c>
      <c r="E294" t="s">
        <v>101</v>
      </c>
      <c r="F294">
        <v>9</v>
      </c>
      <c r="G294">
        <v>15140</v>
      </c>
      <c r="H294" t="s">
        <v>327</v>
      </c>
      <c r="J294">
        <v>15</v>
      </c>
      <c r="K294" t="s">
        <v>74</v>
      </c>
      <c r="L294" t="s">
        <v>31</v>
      </c>
      <c r="M294" t="s">
        <v>100</v>
      </c>
      <c r="N294">
        <v>115821</v>
      </c>
      <c r="O294">
        <v>16859.099999999999</v>
      </c>
      <c r="P294" t="s">
        <v>24</v>
      </c>
      <c r="Q294" t="s">
        <v>56</v>
      </c>
    </row>
    <row r="295" spans="1:17" x14ac:dyDescent="0.25">
      <c r="A295">
        <v>394</v>
      </c>
      <c r="B295" t="s">
        <v>61</v>
      </c>
      <c r="C295" t="s">
        <v>35</v>
      </c>
      <c r="D295" t="s">
        <v>69</v>
      </c>
      <c r="E295" t="s">
        <v>98</v>
      </c>
      <c r="F295">
        <v>10</v>
      </c>
      <c r="G295">
        <v>59247</v>
      </c>
      <c r="H295" t="s">
        <v>328</v>
      </c>
      <c r="J295">
        <v>20</v>
      </c>
      <c r="K295" t="s">
        <v>54</v>
      </c>
      <c r="L295" t="s">
        <v>55</v>
      </c>
      <c r="M295" t="s">
        <v>23</v>
      </c>
      <c r="N295">
        <v>473976</v>
      </c>
      <c r="O295">
        <v>69317.77</v>
      </c>
      <c r="P295" t="s">
        <v>33</v>
      </c>
      <c r="Q295" t="s">
        <v>25</v>
      </c>
    </row>
    <row r="296" spans="1:17" x14ac:dyDescent="0.25">
      <c r="A296">
        <v>395</v>
      </c>
      <c r="B296" t="s">
        <v>34</v>
      </c>
      <c r="C296" t="s">
        <v>35</v>
      </c>
      <c r="D296" t="s">
        <v>76</v>
      </c>
      <c r="E296" t="s">
        <v>92</v>
      </c>
      <c r="F296">
        <v>2</v>
      </c>
      <c r="G296">
        <v>50882</v>
      </c>
      <c r="H296" t="s">
        <v>329</v>
      </c>
      <c r="J296">
        <v>15</v>
      </c>
      <c r="K296" t="s">
        <v>45</v>
      </c>
      <c r="L296" t="s">
        <v>55</v>
      </c>
      <c r="M296" t="s">
        <v>50</v>
      </c>
      <c r="N296">
        <v>86499.4</v>
      </c>
      <c r="O296">
        <v>6946.72</v>
      </c>
      <c r="P296" t="s">
        <v>40</v>
      </c>
      <c r="Q296" t="s">
        <v>25</v>
      </c>
    </row>
    <row r="297" spans="1:17" x14ac:dyDescent="0.25">
      <c r="A297">
        <v>396</v>
      </c>
      <c r="B297" t="s">
        <v>84</v>
      </c>
      <c r="C297" t="s">
        <v>35</v>
      </c>
      <c r="D297" t="s">
        <v>42</v>
      </c>
      <c r="E297" t="s">
        <v>43</v>
      </c>
      <c r="F297">
        <v>7</v>
      </c>
      <c r="G297">
        <v>14619</v>
      </c>
      <c r="H297" t="s">
        <v>330</v>
      </c>
      <c r="J297">
        <v>15</v>
      </c>
      <c r="K297" t="s">
        <v>58</v>
      </c>
      <c r="L297" t="s">
        <v>46</v>
      </c>
      <c r="M297" t="s">
        <v>100</v>
      </c>
      <c r="N297">
        <v>86983.05</v>
      </c>
      <c r="O297">
        <v>9495.7900000000009</v>
      </c>
      <c r="P297" t="s">
        <v>33</v>
      </c>
      <c r="Q297" t="s">
        <v>25</v>
      </c>
    </row>
    <row r="298" spans="1:17" x14ac:dyDescent="0.25">
      <c r="A298">
        <v>397</v>
      </c>
      <c r="B298" t="s">
        <v>96</v>
      </c>
      <c r="C298" t="s">
        <v>27</v>
      </c>
      <c r="D298" t="s">
        <v>42</v>
      </c>
      <c r="E298" t="s">
        <v>59</v>
      </c>
      <c r="F298">
        <v>1</v>
      </c>
      <c r="G298">
        <v>1747</v>
      </c>
      <c r="H298" t="s">
        <v>331</v>
      </c>
      <c r="J298">
        <v>10</v>
      </c>
      <c r="K298" t="s">
        <v>21</v>
      </c>
      <c r="L298" t="s">
        <v>46</v>
      </c>
      <c r="M298" t="s">
        <v>23</v>
      </c>
      <c r="N298">
        <v>1572.3</v>
      </c>
      <c r="O298">
        <v>451.16</v>
      </c>
      <c r="P298" t="s">
        <v>33</v>
      </c>
      <c r="Q298" t="s">
        <v>56</v>
      </c>
    </row>
    <row r="299" spans="1:17" x14ac:dyDescent="0.25">
      <c r="A299">
        <v>398</v>
      </c>
      <c r="B299" t="s">
        <v>41</v>
      </c>
      <c r="C299" t="s">
        <v>27</v>
      </c>
      <c r="D299" t="s">
        <v>76</v>
      </c>
      <c r="E299" t="s">
        <v>77</v>
      </c>
      <c r="F299">
        <v>10</v>
      </c>
      <c r="G299">
        <v>32149</v>
      </c>
      <c r="H299" t="s">
        <v>155</v>
      </c>
      <c r="J299">
        <v>20</v>
      </c>
      <c r="K299" t="s">
        <v>54</v>
      </c>
      <c r="L299" t="s">
        <v>55</v>
      </c>
      <c r="M299" t="s">
        <v>39</v>
      </c>
      <c r="N299">
        <v>257192</v>
      </c>
      <c r="O299">
        <v>23898.82</v>
      </c>
      <c r="P299" t="s">
        <v>65</v>
      </c>
      <c r="Q299" t="s">
        <v>75</v>
      </c>
    </row>
    <row r="300" spans="1:17" x14ac:dyDescent="0.25">
      <c r="A300">
        <v>399</v>
      </c>
      <c r="B300" t="s">
        <v>115</v>
      </c>
      <c r="C300" t="s">
        <v>27</v>
      </c>
      <c r="D300" t="s">
        <v>76</v>
      </c>
      <c r="E300" t="s">
        <v>101</v>
      </c>
      <c r="F300">
        <v>6</v>
      </c>
      <c r="G300">
        <v>50977</v>
      </c>
      <c r="H300" t="s">
        <v>332</v>
      </c>
      <c r="J300">
        <v>0</v>
      </c>
      <c r="K300" t="s">
        <v>54</v>
      </c>
      <c r="L300" t="s">
        <v>55</v>
      </c>
      <c r="M300" t="s">
        <v>64</v>
      </c>
      <c r="N300">
        <v>305862</v>
      </c>
      <c r="O300">
        <v>65192.26</v>
      </c>
      <c r="P300" t="s">
        <v>24</v>
      </c>
      <c r="Q300" t="s">
        <v>56</v>
      </c>
    </row>
    <row r="301" spans="1:17" x14ac:dyDescent="0.25">
      <c r="A301">
        <v>400</v>
      </c>
      <c r="B301" t="s">
        <v>107</v>
      </c>
      <c r="C301" t="s">
        <v>27</v>
      </c>
      <c r="D301" t="s">
        <v>76</v>
      </c>
      <c r="E301" t="s">
        <v>92</v>
      </c>
      <c r="F301">
        <v>7</v>
      </c>
      <c r="G301">
        <v>3038</v>
      </c>
      <c r="H301" t="s">
        <v>250</v>
      </c>
      <c r="J301">
        <v>10</v>
      </c>
      <c r="K301" t="s">
        <v>45</v>
      </c>
      <c r="L301" t="s">
        <v>55</v>
      </c>
      <c r="M301" t="s">
        <v>47</v>
      </c>
      <c r="N301">
        <v>19139.400000000001</v>
      </c>
      <c r="O301">
        <v>4471.8900000000003</v>
      </c>
      <c r="P301" t="s">
        <v>40</v>
      </c>
      <c r="Q301" t="s">
        <v>75</v>
      </c>
    </row>
    <row r="302" spans="1:17" x14ac:dyDescent="0.25">
      <c r="A302">
        <v>401</v>
      </c>
      <c r="B302" t="s">
        <v>61</v>
      </c>
      <c r="C302" t="s">
        <v>27</v>
      </c>
      <c r="D302" t="s">
        <v>76</v>
      </c>
      <c r="E302" t="s">
        <v>101</v>
      </c>
      <c r="F302">
        <v>2</v>
      </c>
      <c r="G302">
        <v>18053</v>
      </c>
      <c r="H302" t="s">
        <v>333</v>
      </c>
      <c r="J302">
        <v>15</v>
      </c>
      <c r="K302" t="s">
        <v>74</v>
      </c>
      <c r="L302" t="s">
        <v>22</v>
      </c>
      <c r="M302" t="s">
        <v>39</v>
      </c>
      <c r="N302">
        <v>30690.1</v>
      </c>
      <c r="O302">
        <v>7941.7</v>
      </c>
      <c r="P302" t="s">
        <v>65</v>
      </c>
      <c r="Q302" t="s">
        <v>56</v>
      </c>
    </row>
    <row r="303" spans="1:17" x14ac:dyDescent="0.25">
      <c r="A303">
        <v>402</v>
      </c>
      <c r="B303" t="s">
        <v>16</v>
      </c>
      <c r="C303" t="s">
        <v>17</v>
      </c>
      <c r="D303" t="s">
        <v>28</v>
      </c>
      <c r="E303" t="s">
        <v>48</v>
      </c>
      <c r="F303">
        <v>6</v>
      </c>
      <c r="G303">
        <v>79811</v>
      </c>
      <c r="H303" t="s">
        <v>242</v>
      </c>
      <c r="J303">
        <v>15</v>
      </c>
      <c r="K303" t="s">
        <v>21</v>
      </c>
      <c r="L303" t="s">
        <v>55</v>
      </c>
      <c r="M303" t="s">
        <v>50</v>
      </c>
      <c r="N303">
        <v>407036.1</v>
      </c>
      <c r="O303">
        <v>77441.09</v>
      </c>
      <c r="P303" t="s">
        <v>40</v>
      </c>
      <c r="Q303" t="s">
        <v>25</v>
      </c>
    </row>
    <row r="304" spans="1:17" x14ac:dyDescent="0.25">
      <c r="A304">
        <v>403</v>
      </c>
      <c r="B304" t="s">
        <v>41</v>
      </c>
      <c r="C304" t="s">
        <v>17</v>
      </c>
      <c r="D304" t="s">
        <v>69</v>
      </c>
      <c r="E304" t="s">
        <v>70</v>
      </c>
      <c r="F304">
        <v>1</v>
      </c>
      <c r="G304">
        <v>8260</v>
      </c>
      <c r="H304" t="s">
        <v>334</v>
      </c>
      <c r="J304">
        <v>0</v>
      </c>
      <c r="K304" t="s">
        <v>21</v>
      </c>
      <c r="L304" t="s">
        <v>22</v>
      </c>
      <c r="M304" t="s">
        <v>39</v>
      </c>
      <c r="N304">
        <v>8260</v>
      </c>
      <c r="O304">
        <v>1183.1300000000001</v>
      </c>
      <c r="P304" t="s">
        <v>24</v>
      </c>
      <c r="Q304" t="s">
        <v>25</v>
      </c>
    </row>
    <row r="305" spans="1:17" x14ac:dyDescent="0.25">
      <c r="A305">
        <v>404</v>
      </c>
      <c r="B305" t="s">
        <v>91</v>
      </c>
      <c r="C305" t="s">
        <v>17</v>
      </c>
      <c r="D305" t="s">
        <v>18</v>
      </c>
      <c r="E305" t="s">
        <v>36</v>
      </c>
      <c r="F305">
        <v>2</v>
      </c>
      <c r="G305">
        <v>66819</v>
      </c>
      <c r="H305" t="s">
        <v>310</v>
      </c>
      <c r="J305">
        <v>5</v>
      </c>
      <c r="K305" t="s">
        <v>74</v>
      </c>
      <c r="L305" t="s">
        <v>31</v>
      </c>
      <c r="M305" t="s">
        <v>23</v>
      </c>
      <c r="N305">
        <v>126956.1</v>
      </c>
      <c r="O305">
        <v>17476.900000000001</v>
      </c>
      <c r="P305" t="s">
        <v>33</v>
      </c>
      <c r="Q305" t="s">
        <v>75</v>
      </c>
    </row>
    <row r="306" spans="1:17" x14ac:dyDescent="0.25">
      <c r="A306">
        <v>405</v>
      </c>
      <c r="B306" t="s">
        <v>67</v>
      </c>
      <c r="C306" t="s">
        <v>35</v>
      </c>
      <c r="D306" t="s">
        <v>18</v>
      </c>
      <c r="E306" t="s">
        <v>19</v>
      </c>
      <c r="F306">
        <v>7</v>
      </c>
      <c r="G306">
        <v>71439</v>
      </c>
      <c r="H306" t="s">
        <v>335</v>
      </c>
      <c r="J306">
        <v>5</v>
      </c>
      <c r="K306" t="s">
        <v>45</v>
      </c>
      <c r="L306" t="s">
        <v>31</v>
      </c>
      <c r="M306" t="s">
        <v>64</v>
      </c>
      <c r="N306">
        <v>475069.35</v>
      </c>
      <c r="O306">
        <v>56746.5</v>
      </c>
      <c r="P306" t="s">
        <v>65</v>
      </c>
      <c r="Q306" t="s">
        <v>56</v>
      </c>
    </row>
    <row r="307" spans="1:17" x14ac:dyDescent="0.25">
      <c r="A307">
        <v>406</v>
      </c>
      <c r="B307" t="s">
        <v>91</v>
      </c>
      <c r="C307" t="s">
        <v>68</v>
      </c>
      <c r="D307" t="s">
        <v>76</v>
      </c>
      <c r="E307" t="s">
        <v>92</v>
      </c>
      <c r="F307">
        <v>9</v>
      </c>
      <c r="G307">
        <v>5634</v>
      </c>
      <c r="H307" t="s">
        <v>122</v>
      </c>
      <c r="J307">
        <v>5</v>
      </c>
      <c r="K307" t="s">
        <v>21</v>
      </c>
      <c r="L307" t="s">
        <v>31</v>
      </c>
      <c r="M307" t="s">
        <v>64</v>
      </c>
      <c r="N307">
        <v>48170.7</v>
      </c>
      <c r="O307">
        <v>10271.1</v>
      </c>
      <c r="P307" t="s">
        <v>24</v>
      </c>
      <c r="Q307" t="s">
        <v>25</v>
      </c>
    </row>
    <row r="308" spans="1:17" x14ac:dyDescent="0.25">
      <c r="A308">
        <v>407</v>
      </c>
      <c r="B308" t="s">
        <v>34</v>
      </c>
      <c r="C308" t="s">
        <v>35</v>
      </c>
      <c r="D308" t="s">
        <v>18</v>
      </c>
      <c r="E308" t="s">
        <v>72</v>
      </c>
      <c r="F308">
        <v>1</v>
      </c>
      <c r="G308">
        <v>66727</v>
      </c>
      <c r="H308" t="s">
        <v>336</v>
      </c>
      <c r="J308">
        <v>0</v>
      </c>
      <c r="K308" t="s">
        <v>74</v>
      </c>
      <c r="L308" t="s">
        <v>55</v>
      </c>
      <c r="M308" t="s">
        <v>81</v>
      </c>
      <c r="N308">
        <v>66727</v>
      </c>
      <c r="O308">
        <v>15665.99</v>
      </c>
      <c r="P308" t="s">
        <v>24</v>
      </c>
      <c r="Q308" t="s">
        <v>25</v>
      </c>
    </row>
    <row r="309" spans="1:17" x14ac:dyDescent="0.25">
      <c r="A309">
        <v>408</v>
      </c>
      <c r="B309" t="s">
        <v>109</v>
      </c>
      <c r="C309" t="s">
        <v>35</v>
      </c>
      <c r="D309" t="s">
        <v>42</v>
      </c>
      <c r="E309" t="s">
        <v>52</v>
      </c>
      <c r="F309">
        <v>9</v>
      </c>
      <c r="G309">
        <v>73176</v>
      </c>
      <c r="H309" t="s">
        <v>284</v>
      </c>
      <c r="J309">
        <v>15</v>
      </c>
      <c r="K309" t="s">
        <v>54</v>
      </c>
      <c r="L309" t="s">
        <v>55</v>
      </c>
      <c r="M309" t="s">
        <v>32</v>
      </c>
      <c r="N309">
        <v>559796.4</v>
      </c>
      <c r="O309">
        <v>143011.21</v>
      </c>
      <c r="P309" t="s">
        <v>65</v>
      </c>
      <c r="Q309" t="s">
        <v>75</v>
      </c>
    </row>
    <row r="310" spans="1:17" x14ac:dyDescent="0.25">
      <c r="A310">
        <v>409</v>
      </c>
      <c r="B310" t="s">
        <v>94</v>
      </c>
      <c r="C310" t="s">
        <v>27</v>
      </c>
      <c r="D310" t="s">
        <v>28</v>
      </c>
      <c r="E310" t="s">
        <v>29</v>
      </c>
      <c r="F310">
        <v>10</v>
      </c>
      <c r="G310">
        <v>50037</v>
      </c>
      <c r="H310" t="s">
        <v>337</v>
      </c>
      <c r="J310">
        <v>0</v>
      </c>
      <c r="K310" t="s">
        <v>54</v>
      </c>
      <c r="L310" t="s">
        <v>31</v>
      </c>
      <c r="M310" t="s">
        <v>64</v>
      </c>
      <c r="N310">
        <v>500370</v>
      </c>
      <c r="O310">
        <v>55929.61</v>
      </c>
      <c r="P310" t="s">
        <v>65</v>
      </c>
      <c r="Q310" t="s">
        <v>75</v>
      </c>
    </row>
    <row r="311" spans="1:17" x14ac:dyDescent="0.25">
      <c r="A311">
        <v>410</v>
      </c>
      <c r="B311" t="s">
        <v>91</v>
      </c>
      <c r="C311" t="s">
        <v>17</v>
      </c>
      <c r="D311" t="s">
        <v>76</v>
      </c>
      <c r="E311" t="s">
        <v>77</v>
      </c>
      <c r="F311">
        <v>2</v>
      </c>
      <c r="G311">
        <v>23035</v>
      </c>
      <c r="H311" t="s">
        <v>338</v>
      </c>
      <c r="J311">
        <v>15</v>
      </c>
      <c r="K311" t="s">
        <v>45</v>
      </c>
      <c r="L311" t="s">
        <v>55</v>
      </c>
      <c r="M311" t="s">
        <v>81</v>
      </c>
      <c r="N311">
        <v>39159.5</v>
      </c>
      <c r="O311">
        <v>10837.92</v>
      </c>
      <c r="P311" t="s">
        <v>40</v>
      </c>
      <c r="Q311" t="s">
        <v>56</v>
      </c>
    </row>
    <row r="312" spans="1:17" x14ac:dyDescent="0.25">
      <c r="A312">
        <v>411</v>
      </c>
      <c r="B312" t="s">
        <v>41</v>
      </c>
      <c r="C312" t="s">
        <v>35</v>
      </c>
      <c r="D312" t="s">
        <v>76</v>
      </c>
      <c r="E312" t="s">
        <v>92</v>
      </c>
      <c r="F312">
        <v>2</v>
      </c>
      <c r="G312">
        <v>43533</v>
      </c>
      <c r="H312" t="s">
        <v>85</v>
      </c>
      <c r="J312">
        <v>20</v>
      </c>
      <c r="K312" t="s">
        <v>74</v>
      </c>
      <c r="L312" t="s">
        <v>31</v>
      </c>
      <c r="M312" t="s">
        <v>39</v>
      </c>
      <c r="N312">
        <v>69652.800000000003</v>
      </c>
      <c r="O312">
        <v>10864.66</v>
      </c>
      <c r="P312" t="s">
        <v>40</v>
      </c>
      <c r="Q312" t="s">
        <v>25</v>
      </c>
    </row>
    <row r="313" spans="1:17" x14ac:dyDescent="0.25">
      <c r="A313">
        <v>412</v>
      </c>
      <c r="B313" t="s">
        <v>109</v>
      </c>
      <c r="C313" t="s">
        <v>17</v>
      </c>
      <c r="D313" t="s">
        <v>18</v>
      </c>
      <c r="E313" t="s">
        <v>36</v>
      </c>
      <c r="F313">
        <v>3</v>
      </c>
      <c r="G313">
        <v>59106</v>
      </c>
      <c r="H313" t="s">
        <v>339</v>
      </c>
      <c r="J313">
        <v>0</v>
      </c>
      <c r="K313" t="s">
        <v>38</v>
      </c>
      <c r="L313" t="s">
        <v>31</v>
      </c>
      <c r="M313" t="s">
        <v>47</v>
      </c>
      <c r="N313">
        <v>177318</v>
      </c>
      <c r="O313">
        <v>28180.17</v>
      </c>
      <c r="P313" t="s">
        <v>40</v>
      </c>
      <c r="Q313" t="s">
        <v>75</v>
      </c>
    </row>
    <row r="314" spans="1:17" x14ac:dyDescent="0.25">
      <c r="A314">
        <v>413</v>
      </c>
      <c r="B314" t="s">
        <v>115</v>
      </c>
      <c r="C314" t="s">
        <v>68</v>
      </c>
      <c r="D314" t="s">
        <v>18</v>
      </c>
      <c r="E314" t="s">
        <v>62</v>
      </c>
      <c r="F314">
        <v>10</v>
      </c>
      <c r="G314">
        <v>68546</v>
      </c>
      <c r="H314" t="s">
        <v>340</v>
      </c>
      <c r="J314">
        <v>0</v>
      </c>
      <c r="K314" t="s">
        <v>58</v>
      </c>
      <c r="L314" t="s">
        <v>31</v>
      </c>
      <c r="M314" t="s">
        <v>64</v>
      </c>
      <c r="N314">
        <v>685460</v>
      </c>
      <c r="O314">
        <v>66150.77</v>
      </c>
      <c r="P314" t="s">
        <v>40</v>
      </c>
      <c r="Q314" t="s">
        <v>25</v>
      </c>
    </row>
    <row r="315" spans="1:17" x14ac:dyDescent="0.25">
      <c r="A315">
        <v>414</v>
      </c>
      <c r="B315" t="s">
        <v>34</v>
      </c>
      <c r="C315" t="s">
        <v>35</v>
      </c>
      <c r="D315" t="s">
        <v>76</v>
      </c>
      <c r="E315" t="s">
        <v>92</v>
      </c>
      <c r="F315">
        <v>3</v>
      </c>
      <c r="G315">
        <v>70107</v>
      </c>
      <c r="H315" t="s">
        <v>137</v>
      </c>
      <c r="J315">
        <v>0</v>
      </c>
      <c r="K315" t="s">
        <v>58</v>
      </c>
      <c r="L315" t="s">
        <v>22</v>
      </c>
      <c r="M315" t="s">
        <v>39</v>
      </c>
      <c r="N315">
        <v>210321</v>
      </c>
      <c r="O315">
        <v>61677.73</v>
      </c>
      <c r="P315" t="s">
        <v>40</v>
      </c>
      <c r="Q315" t="s">
        <v>56</v>
      </c>
    </row>
    <row r="316" spans="1:17" x14ac:dyDescent="0.25">
      <c r="A316">
        <v>415</v>
      </c>
      <c r="B316" t="s">
        <v>34</v>
      </c>
      <c r="C316" t="s">
        <v>35</v>
      </c>
      <c r="D316" t="s">
        <v>76</v>
      </c>
      <c r="E316" t="s">
        <v>101</v>
      </c>
      <c r="F316">
        <v>1</v>
      </c>
      <c r="G316">
        <v>33345</v>
      </c>
      <c r="H316" t="s">
        <v>341</v>
      </c>
      <c r="J316">
        <v>15</v>
      </c>
      <c r="K316" t="s">
        <v>74</v>
      </c>
      <c r="L316" t="s">
        <v>31</v>
      </c>
      <c r="M316" t="s">
        <v>32</v>
      </c>
      <c r="N316">
        <v>28343.25</v>
      </c>
      <c r="O316">
        <v>6528.6</v>
      </c>
      <c r="P316" t="s">
        <v>65</v>
      </c>
      <c r="Q316" t="s">
        <v>56</v>
      </c>
    </row>
    <row r="317" spans="1:17" x14ac:dyDescent="0.25">
      <c r="A317">
        <v>416</v>
      </c>
      <c r="B317" t="s">
        <v>26</v>
      </c>
      <c r="C317" t="s">
        <v>17</v>
      </c>
      <c r="D317" t="s">
        <v>76</v>
      </c>
      <c r="E317" t="s">
        <v>77</v>
      </c>
      <c r="F317">
        <v>2</v>
      </c>
      <c r="G317">
        <v>55197</v>
      </c>
      <c r="H317" t="s">
        <v>342</v>
      </c>
      <c r="J317">
        <v>5</v>
      </c>
      <c r="K317" t="s">
        <v>54</v>
      </c>
      <c r="L317" t="s">
        <v>55</v>
      </c>
      <c r="M317" t="s">
        <v>47</v>
      </c>
      <c r="N317">
        <v>104874.3</v>
      </c>
      <c r="O317">
        <v>28664.26</v>
      </c>
      <c r="P317" t="s">
        <v>33</v>
      </c>
      <c r="Q317" t="s">
        <v>56</v>
      </c>
    </row>
    <row r="318" spans="1:17" x14ac:dyDescent="0.25">
      <c r="A318">
        <v>417</v>
      </c>
      <c r="B318" t="s">
        <v>26</v>
      </c>
      <c r="C318" t="s">
        <v>27</v>
      </c>
      <c r="D318" t="s">
        <v>18</v>
      </c>
      <c r="E318" t="s">
        <v>62</v>
      </c>
      <c r="F318">
        <v>7</v>
      </c>
      <c r="G318">
        <v>44539</v>
      </c>
      <c r="H318" t="s">
        <v>343</v>
      </c>
      <c r="J318">
        <v>10</v>
      </c>
      <c r="K318" t="s">
        <v>21</v>
      </c>
      <c r="L318" t="s">
        <v>55</v>
      </c>
      <c r="M318" t="s">
        <v>50</v>
      </c>
      <c r="N318">
        <v>280595.7</v>
      </c>
      <c r="O318">
        <v>32213.38</v>
      </c>
      <c r="P318" t="s">
        <v>40</v>
      </c>
      <c r="Q318" t="s">
        <v>25</v>
      </c>
    </row>
    <row r="319" spans="1:17" x14ac:dyDescent="0.25">
      <c r="A319">
        <v>418</v>
      </c>
      <c r="B319" t="s">
        <v>51</v>
      </c>
      <c r="C319" t="s">
        <v>35</v>
      </c>
      <c r="D319" t="s">
        <v>18</v>
      </c>
      <c r="E319" t="s">
        <v>19</v>
      </c>
      <c r="F319">
        <v>4</v>
      </c>
      <c r="G319">
        <v>29736</v>
      </c>
      <c r="H319" t="s">
        <v>344</v>
      </c>
      <c r="J319">
        <v>10</v>
      </c>
      <c r="K319" t="s">
        <v>21</v>
      </c>
      <c r="L319" t="s">
        <v>55</v>
      </c>
      <c r="M319" t="s">
        <v>47</v>
      </c>
      <c r="N319">
        <v>107049.60000000001</v>
      </c>
      <c r="O319">
        <v>30880.81</v>
      </c>
      <c r="P319" t="s">
        <v>40</v>
      </c>
      <c r="Q319" t="s">
        <v>25</v>
      </c>
    </row>
    <row r="320" spans="1:17" x14ac:dyDescent="0.25">
      <c r="A320">
        <v>419</v>
      </c>
      <c r="B320" t="s">
        <v>61</v>
      </c>
      <c r="C320" t="s">
        <v>17</v>
      </c>
      <c r="D320" t="s">
        <v>18</v>
      </c>
      <c r="E320" t="s">
        <v>36</v>
      </c>
      <c r="F320">
        <v>6</v>
      </c>
      <c r="G320">
        <v>4400</v>
      </c>
      <c r="H320" t="s">
        <v>345</v>
      </c>
      <c r="J320">
        <v>20</v>
      </c>
      <c r="K320" t="s">
        <v>54</v>
      </c>
      <c r="L320" t="s">
        <v>22</v>
      </c>
      <c r="M320" t="s">
        <v>32</v>
      </c>
      <c r="N320">
        <v>21120</v>
      </c>
      <c r="O320">
        <v>5969.11</v>
      </c>
      <c r="P320" t="s">
        <v>33</v>
      </c>
      <c r="Q320" t="s">
        <v>56</v>
      </c>
    </row>
    <row r="321" spans="1:17" x14ac:dyDescent="0.25">
      <c r="A321">
        <v>420</v>
      </c>
      <c r="B321" t="s">
        <v>26</v>
      </c>
      <c r="C321" t="s">
        <v>17</v>
      </c>
      <c r="D321" t="s">
        <v>28</v>
      </c>
      <c r="E321" t="s">
        <v>48</v>
      </c>
      <c r="F321">
        <v>9</v>
      </c>
      <c r="G321">
        <v>11640</v>
      </c>
      <c r="H321" t="s">
        <v>346</v>
      </c>
      <c r="J321">
        <v>15</v>
      </c>
      <c r="K321" t="s">
        <v>38</v>
      </c>
      <c r="L321" t="s">
        <v>31</v>
      </c>
      <c r="M321" t="s">
        <v>50</v>
      </c>
      <c r="N321">
        <v>89046</v>
      </c>
      <c r="O321">
        <v>7947.99</v>
      </c>
      <c r="P321" t="s">
        <v>40</v>
      </c>
      <c r="Q321" t="s">
        <v>56</v>
      </c>
    </row>
    <row r="322" spans="1:17" x14ac:dyDescent="0.25">
      <c r="A322">
        <v>421</v>
      </c>
      <c r="B322" t="s">
        <v>84</v>
      </c>
      <c r="C322" t="s">
        <v>27</v>
      </c>
      <c r="D322" t="s">
        <v>42</v>
      </c>
      <c r="E322" t="s">
        <v>43</v>
      </c>
      <c r="F322">
        <v>6</v>
      </c>
      <c r="G322">
        <v>45661</v>
      </c>
      <c r="H322" t="s">
        <v>136</v>
      </c>
      <c r="J322">
        <v>0</v>
      </c>
      <c r="K322" t="s">
        <v>54</v>
      </c>
      <c r="L322" t="s">
        <v>46</v>
      </c>
      <c r="M322" t="s">
        <v>32</v>
      </c>
      <c r="N322">
        <v>273966</v>
      </c>
      <c r="O322">
        <v>46335.94</v>
      </c>
      <c r="P322" t="s">
        <v>33</v>
      </c>
      <c r="Q322" t="s">
        <v>56</v>
      </c>
    </row>
    <row r="323" spans="1:17" x14ac:dyDescent="0.25">
      <c r="A323">
        <v>422</v>
      </c>
      <c r="B323" t="s">
        <v>16</v>
      </c>
      <c r="C323" t="s">
        <v>17</v>
      </c>
      <c r="D323" t="s">
        <v>18</v>
      </c>
      <c r="E323" t="s">
        <v>19</v>
      </c>
      <c r="F323">
        <v>5</v>
      </c>
      <c r="G323">
        <v>51797</v>
      </c>
      <c r="H323" t="s">
        <v>347</v>
      </c>
      <c r="J323">
        <v>10</v>
      </c>
      <c r="K323" t="s">
        <v>58</v>
      </c>
      <c r="L323" t="s">
        <v>22</v>
      </c>
      <c r="M323" t="s">
        <v>32</v>
      </c>
      <c r="N323">
        <v>233086.5</v>
      </c>
      <c r="O323">
        <v>40956.769999999997</v>
      </c>
      <c r="P323" t="s">
        <v>24</v>
      </c>
      <c r="Q323" t="s">
        <v>56</v>
      </c>
    </row>
    <row r="324" spans="1:17" x14ac:dyDescent="0.25">
      <c r="A324">
        <v>423</v>
      </c>
      <c r="B324" t="s">
        <v>41</v>
      </c>
      <c r="C324" t="s">
        <v>17</v>
      </c>
      <c r="D324" t="s">
        <v>28</v>
      </c>
      <c r="E324" t="s">
        <v>103</v>
      </c>
      <c r="F324">
        <v>9</v>
      </c>
      <c r="G324">
        <v>16664</v>
      </c>
      <c r="H324" t="s">
        <v>177</v>
      </c>
      <c r="J324">
        <v>15</v>
      </c>
      <c r="K324" t="s">
        <v>54</v>
      </c>
      <c r="L324" t="s">
        <v>22</v>
      </c>
      <c r="M324" t="s">
        <v>32</v>
      </c>
      <c r="N324">
        <v>127479.6</v>
      </c>
      <c r="O324">
        <v>33047.599999999999</v>
      </c>
      <c r="P324" t="s">
        <v>65</v>
      </c>
      <c r="Q324" t="s">
        <v>75</v>
      </c>
    </row>
    <row r="325" spans="1:17" x14ac:dyDescent="0.25">
      <c r="A325">
        <v>424</v>
      </c>
      <c r="B325" t="s">
        <v>79</v>
      </c>
      <c r="C325" t="s">
        <v>68</v>
      </c>
      <c r="D325" t="s">
        <v>42</v>
      </c>
      <c r="E325" t="s">
        <v>59</v>
      </c>
      <c r="F325">
        <v>5</v>
      </c>
      <c r="G325">
        <v>1095</v>
      </c>
      <c r="H325" t="s">
        <v>82</v>
      </c>
      <c r="J325">
        <v>10</v>
      </c>
      <c r="K325" t="s">
        <v>74</v>
      </c>
      <c r="L325" t="s">
        <v>55</v>
      </c>
      <c r="M325" t="s">
        <v>39</v>
      </c>
      <c r="N325">
        <v>4927.5</v>
      </c>
      <c r="O325">
        <v>1210.57</v>
      </c>
      <c r="P325" t="s">
        <v>40</v>
      </c>
      <c r="Q325" t="s">
        <v>75</v>
      </c>
    </row>
    <row r="326" spans="1:17" x14ac:dyDescent="0.25">
      <c r="A326">
        <v>425</v>
      </c>
      <c r="B326" t="s">
        <v>26</v>
      </c>
      <c r="C326" t="s">
        <v>35</v>
      </c>
      <c r="D326" t="s">
        <v>42</v>
      </c>
      <c r="E326" t="s">
        <v>52</v>
      </c>
      <c r="F326">
        <v>2</v>
      </c>
      <c r="G326">
        <v>74837</v>
      </c>
      <c r="H326" t="s">
        <v>348</v>
      </c>
      <c r="J326">
        <v>15</v>
      </c>
      <c r="K326" t="s">
        <v>45</v>
      </c>
      <c r="L326" t="s">
        <v>22</v>
      </c>
      <c r="M326" t="s">
        <v>23</v>
      </c>
      <c r="N326">
        <v>127222.9</v>
      </c>
      <c r="O326">
        <v>32472.09</v>
      </c>
      <c r="P326" t="s">
        <v>33</v>
      </c>
      <c r="Q326" t="s">
        <v>75</v>
      </c>
    </row>
    <row r="327" spans="1:17" x14ac:dyDescent="0.25">
      <c r="A327">
        <v>426</v>
      </c>
      <c r="B327" t="s">
        <v>79</v>
      </c>
      <c r="C327" t="s">
        <v>17</v>
      </c>
      <c r="D327" t="s">
        <v>69</v>
      </c>
      <c r="E327" t="s">
        <v>121</v>
      </c>
      <c r="F327">
        <v>10</v>
      </c>
      <c r="G327">
        <v>77682</v>
      </c>
      <c r="H327" t="s">
        <v>203</v>
      </c>
      <c r="J327">
        <v>5</v>
      </c>
      <c r="K327" t="s">
        <v>38</v>
      </c>
      <c r="L327" t="s">
        <v>55</v>
      </c>
      <c r="M327" t="s">
        <v>50</v>
      </c>
      <c r="N327">
        <v>737979</v>
      </c>
      <c r="O327">
        <v>167641.99</v>
      </c>
      <c r="P327" t="s">
        <v>33</v>
      </c>
      <c r="Q327" t="s">
        <v>75</v>
      </c>
    </row>
    <row r="328" spans="1:17" x14ac:dyDescent="0.25">
      <c r="A328">
        <v>427</v>
      </c>
      <c r="B328" t="s">
        <v>51</v>
      </c>
      <c r="C328" t="s">
        <v>35</v>
      </c>
      <c r="D328" t="s">
        <v>42</v>
      </c>
      <c r="E328" t="s">
        <v>59</v>
      </c>
      <c r="F328">
        <v>10</v>
      </c>
      <c r="G328">
        <v>79973</v>
      </c>
      <c r="H328" t="s">
        <v>349</v>
      </c>
      <c r="J328">
        <v>5</v>
      </c>
      <c r="K328" t="s">
        <v>45</v>
      </c>
      <c r="L328" t="s">
        <v>55</v>
      </c>
      <c r="M328" t="s">
        <v>23</v>
      </c>
      <c r="N328">
        <v>759743.5</v>
      </c>
      <c r="O328">
        <v>186713.98</v>
      </c>
      <c r="P328" t="s">
        <v>33</v>
      </c>
      <c r="Q328" t="s">
        <v>75</v>
      </c>
    </row>
    <row r="329" spans="1:17" x14ac:dyDescent="0.25">
      <c r="A329">
        <v>428</v>
      </c>
      <c r="B329" t="s">
        <v>91</v>
      </c>
      <c r="C329" t="s">
        <v>27</v>
      </c>
      <c r="D329" t="s">
        <v>18</v>
      </c>
      <c r="E329" t="s">
        <v>36</v>
      </c>
      <c r="F329">
        <v>8</v>
      </c>
      <c r="G329">
        <v>51267</v>
      </c>
      <c r="H329" t="s">
        <v>350</v>
      </c>
      <c r="J329">
        <v>20</v>
      </c>
      <c r="K329" t="s">
        <v>54</v>
      </c>
      <c r="L329" t="s">
        <v>31</v>
      </c>
      <c r="M329" t="s">
        <v>32</v>
      </c>
      <c r="N329">
        <v>328108.79999999999</v>
      </c>
      <c r="O329">
        <v>90252.06</v>
      </c>
      <c r="P329" t="s">
        <v>33</v>
      </c>
      <c r="Q329" t="s">
        <v>56</v>
      </c>
    </row>
    <row r="330" spans="1:17" x14ac:dyDescent="0.25">
      <c r="A330">
        <v>429</v>
      </c>
      <c r="B330" t="s">
        <v>91</v>
      </c>
      <c r="C330" t="s">
        <v>27</v>
      </c>
      <c r="D330" t="s">
        <v>18</v>
      </c>
      <c r="E330" t="s">
        <v>62</v>
      </c>
      <c r="F330">
        <v>5</v>
      </c>
      <c r="G330">
        <v>20990</v>
      </c>
      <c r="H330" t="s">
        <v>351</v>
      </c>
      <c r="J330">
        <v>0</v>
      </c>
      <c r="K330" t="s">
        <v>54</v>
      </c>
      <c r="L330" t="s">
        <v>22</v>
      </c>
      <c r="M330" t="s">
        <v>100</v>
      </c>
      <c r="N330">
        <v>104950</v>
      </c>
      <c r="O330">
        <v>25799.22</v>
      </c>
      <c r="P330" t="s">
        <v>33</v>
      </c>
      <c r="Q330" t="s">
        <v>56</v>
      </c>
    </row>
    <row r="331" spans="1:17" x14ac:dyDescent="0.25">
      <c r="A331">
        <v>430</v>
      </c>
      <c r="B331" t="s">
        <v>91</v>
      </c>
      <c r="C331" t="s">
        <v>68</v>
      </c>
      <c r="D331" t="s">
        <v>42</v>
      </c>
      <c r="E331" t="s">
        <v>59</v>
      </c>
      <c r="F331">
        <v>1</v>
      </c>
      <c r="G331">
        <v>10027</v>
      </c>
      <c r="H331" t="s">
        <v>352</v>
      </c>
      <c r="J331">
        <v>20</v>
      </c>
      <c r="K331" t="s">
        <v>58</v>
      </c>
      <c r="L331" t="s">
        <v>46</v>
      </c>
      <c r="M331" t="s">
        <v>23</v>
      </c>
      <c r="N331">
        <v>8021.6</v>
      </c>
      <c r="O331">
        <v>731.28</v>
      </c>
      <c r="P331" t="s">
        <v>33</v>
      </c>
      <c r="Q331" t="s">
        <v>56</v>
      </c>
    </row>
    <row r="332" spans="1:17" x14ac:dyDescent="0.25">
      <c r="A332">
        <v>431</v>
      </c>
      <c r="B332" t="s">
        <v>34</v>
      </c>
      <c r="C332" t="s">
        <v>68</v>
      </c>
      <c r="D332" t="s">
        <v>18</v>
      </c>
      <c r="E332" t="s">
        <v>62</v>
      </c>
      <c r="F332">
        <v>5</v>
      </c>
      <c r="G332">
        <v>40150</v>
      </c>
      <c r="H332" t="s">
        <v>353</v>
      </c>
      <c r="J332">
        <v>20</v>
      </c>
      <c r="K332" t="s">
        <v>45</v>
      </c>
      <c r="L332" t="s">
        <v>55</v>
      </c>
      <c r="M332" t="s">
        <v>64</v>
      </c>
      <c r="N332">
        <v>160600</v>
      </c>
      <c r="O332">
        <v>45444.959999999999</v>
      </c>
      <c r="P332" t="s">
        <v>33</v>
      </c>
      <c r="Q332" t="s">
        <v>25</v>
      </c>
    </row>
    <row r="333" spans="1:17" x14ac:dyDescent="0.25">
      <c r="A333">
        <v>432</v>
      </c>
      <c r="B333" t="s">
        <v>26</v>
      </c>
      <c r="C333" t="s">
        <v>68</v>
      </c>
      <c r="D333" t="s">
        <v>69</v>
      </c>
      <c r="E333" t="s">
        <v>121</v>
      </c>
      <c r="F333">
        <v>2</v>
      </c>
      <c r="G333">
        <v>32177</v>
      </c>
      <c r="H333" t="s">
        <v>236</v>
      </c>
      <c r="J333">
        <v>10</v>
      </c>
      <c r="K333" t="s">
        <v>54</v>
      </c>
      <c r="L333" t="s">
        <v>31</v>
      </c>
      <c r="M333" t="s">
        <v>32</v>
      </c>
      <c r="N333">
        <v>57918.6</v>
      </c>
      <c r="O333">
        <v>7974.67</v>
      </c>
      <c r="P333" t="s">
        <v>24</v>
      </c>
      <c r="Q333" t="s">
        <v>25</v>
      </c>
    </row>
    <row r="334" spans="1:17" x14ac:dyDescent="0.25">
      <c r="A334">
        <v>433</v>
      </c>
      <c r="B334" t="s">
        <v>109</v>
      </c>
      <c r="C334" t="s">
        <v>17</v>
      </c>
      <c r="D334" t="s">
        <v>18</v>
      </c>
      <c r="E334" t="s">
        <v>19</v>
      </c>
      <c r="F334">
        <v>9</v>
      </c>
      <c r="G334">
        <v>58549</v>
      </c>
      <c r="H334" t="s">
        <v>354</v>
      </c>
      <c r="J334">
        <v>10</v>
      </c>
      <c r="K334" t="s">
        <v>38</v>
      </c>
      <c r="L334" t="s">
        <v>55</v>
      </c>
      <c r="M334" t="s">
        <v>47</v>
      </c>
      <c r="N334">
        <v>474246.9</v>
      </c>
      <c r="O334">
        <v>140261.01</v>
      </c>
      <c r="P334" t="s">
        <v>33</v>
      </c>
      <c r="Q334" t="s">
        <v>25</v>
      </c>
    </row>
    <row r="335" spans="1:17" x14ac:dyDescent="0.25">
      <c r="A335">
        <v>434</v>
      </c>
      <c r="B335" t="s">
        <v>84</v>
      </c>
      <c r="C335" t="s">
        <v>17</v>
      </c>
      <c r="D335" t="s">
        <v>28</v>
      </c>
      <c r="E335" t="s">
        <v>29</v>
      </c>
      <c r="F335">
        <v>7</v>
      </c>
      <c r="G335">
        <v>41270</v>
      </c>
      <c r="H335" t="s">
        <v>355</v>
      </c>
      <c r="J335">
        <v>20</v>
      </c>
      <c r="K335" t="s">
        <v>21</v>
      </c>
      <c r="L335" t="s">
        <v>31</v>
      </c>
      <c r="M335" t="s">
        <v>32</v>
      </c>
      <c r="N335">
        <v>231112</v>
      </c>
      <c r="O335">
        <v>20939.41</v>
      </c>
      <c r="P335" t="s">
        <v>65</v>
      </c>
      <c r="Q335" t="s">
        <v>56</v>
      </c>
    </row>
    <row r="336" spans="1:17" x14ac:dyDescent="0.25">
      <c r="A336">
        <v>435</v>
      </c>
      <c r="B336" t="s">
        <v>61</v>
      </c>
      <c r="C336" t="s">
        <v>17</v>
      </c>
      <c r="D336" t="s">
        <v>76</v>
      </c>
      <c r="E336" t="s">
        <v>92</v>
      </c>
      <c r="F336">
        <v>10</v>
      </c>
      <c r="G336">
        <v>24855</v>
      </c>
      <c r="H336" t="s">
        <v>347</v>
      </c>
      <c r="J336">
        <v>15</v>
      </c>
      <c r="K336" t="s">
        <v>58</v>
      </c>
      <c r="L336" t="s">
        <v>31</v>
      </c>
      <c r="M336" t="s">
        <v>100</v>
      </c>
      <c r="N336">
        <v>211267.5</v>
      </c>
      <c r="O336">
        <v>51048.79</v>
      </c>
      <c r="P336" t="s">
        <v>40</v>
      </c>
      <c r="Q336" t="s">
        <v>75</v>
      </c>
    </row>
    <row r="337" spans="1:17" x14ac:dyDescent="0.25">
      <c r="A337">
        <v>436</v>
      </c>
      <c r="B337" t="s">
        <v>34</v>
      </c>
      <c r="C337" t="s">
        <v>68</v>
      </c>
      <c r="D337" t="s">
        <v>28</v>
      </c>
      <c r="E337" t="s">
        <v>103</v>
      </c>
      <c r="F337">
        <v>3</v>
      </c>
      <c r="G337">
        <v>67462</v>
      </c>
      <c r="H337" t="s">
        <v>356</v>
      </c>
      <c r="J337">
        <v>15</v>
      </c>
      <c r="K337" t="s">
        <v>38</v>
      </c>
      <c r="L337" t="s">
        <v>31</v>
      </c>
      <c r="M337" t="s">
        <v>32</v>
      </c>
      <c r="N337">
        <v>172028.1</v>
      </c>
      <c r="O337">
        <v>29575.91</v>
      </c>
      <c r="P337" t="s">
        <v>24</v>
      </c>
      <c r="Q337" t="s">
        <v>25</v>
      </c>
    </row>
    <row r="338" spans="1:17" x14ac:dyDescent="0.25">
      <c r="A338">
        <v>437</v>
      </c>
      <c r="B338" t="s">
        <v>94</v>
      </c>
      <c r="C338" t="s">
        <v>68</v>
      </c>
      <c r="D338" t="s">
        <v>76</v>
      </c>
      <c r="E338" t="s">
        <v>101</v>
      </c>
      <c r="F338">
        <v>5</v>
      </c>
      <c r="G338">
        <v>1444</v>
      </c>
      <c r="H338" t="s">
        <v>357</v>
      </c>
      <c r="J338">
        <v>20</v>
      </c>
      <c r="K338" t="s">
        <v>54</v>
      </c>
      <c r="L338" t="s">
        <v>31</v>
      </c>
      <c r="M338" t="s">
        <v>47</v>
      </c>
      <c r="N338">
        <v>5776</v>
      </c>
      <c r="O338">
        <v>535.04</v>
      </c>
      <c r="P338" t="s">
        <v>40</v>
      </c>
      <c r="Q338" t="s">
        <v>75</v>
      </c>
    </row>
    <row r="339" spans="1:17" x14ac:dyDescent="0.25">
      <c r="A339">
        <v>438</v>
      </c>
      <c r="B339" t="s">
        <v>96</v>
      </c>
      <c r="C339" t="s">
        <v>68</v>
      </c>
      <c r="D339" t="s">
        <v>18</v>
      </c>
      <c r="E339" t="s">
        <v>62</v>
      </c>
      <c r="F339">
        <v>8</v>
      </c>
      <c r="G339">
        <v>43740</v>
      </c>
      <c r="H339" t="s">
        <v>358</v>
      </c>
      <c r="J339">
        <v>5</v>
      </c>
      <c r="K339" t="s">
        <v>54</v>
      </c>
      <c r="L339" t="s">
        <v>55</v>
      </c>
      <c r="M339" t="s">
        <v>32</v>
      </c>
      <c r="N339">
        <v>332424</v>
      </c>
      <c r="O339">
        <v>32815.730000000003</v>
      </c>
      <c r="P339" t="s">
        <v>40</v>
      </c>
      <c r="Q339" t="s">
        <v>75</v>
      </c>
    </row>
    <row r="340" spans="1:17" x14ac:dyDescent="0.25">
      <c r="A340">
        <v>439</v>
      </c>
      <c r="B340" t="s">
        <v>34</v>
      </c>
      <c r="C340" t="s">
        <v>35</v>
      </c>
      <c r="D340" t="s">
        <v>76</v>
      </c>
      <c r="E340" t="s">
        <v>101</v>
      </c>
      <c r="F340">
        <v>8</v>
      </c>
      <c r="G340">
        <v>27637</v>
      </c>
      <c r="H340" t="s">
        <v>359</v>
      </c>
      <c r="J340">
        <v>20</v>
      </c>
      <c r="K340" t="s">
        <v>54</v>
      </c>
      <c r="L340" t="s">
        <v>31</v>
      </c>
      <c r="M340" t="s">
        <v>81</v>
      </c>
      <c r="N340">
        <v>176876.79999999999</v>
      </c>
      <c r="O340">
        <v>32037.43</v>
      </c>
      <c r="P340" t="s">
        <v>24</v>
      </c>
      <c r="Q340" t="s">
        <v>25</v>
      </c>
    </row>
    <row r="341" spans="1:17" x14ac:dyDescent="0.25">
      <c r="A341">
        <v>440</v>
      </c>
      <c r="B341" t="s">
        <v>26</v>
      </c>
      <c r="C341" t="s">
        <v>17</v>
      </c>
      <c r="D341" t="s">
        <v>18</v>
      </c>
      <c r="E341" t="s">
        <v>36</v>
      </c>
      <c r="F341">
        <v>10</v>
      </c>
      <c r="G341">
        <v>57484</v>
      </c>
      <c r="H341" t="s">
        <v>360</v>
      </c>
      <c r="J341">
        <v>5</v>
      </c>
      <c r="K341" t="s">
        <v>45</v>
      </c>
      <c r="L341" t="s">
        <v>31</v>
      </c>
      <c r="M341" t="s">
        <v>100</v>
      </c>
      <c r="N341">
        <v>546098</v>
      </c>
      <c r="O341">
        <v>110911.51</v>
      </c>
      <c r="P341" t="s">
        <v>24</v>
      </c>
      <c r="Q341" t="s">
        <v>25</v>
      </c>
    </row>
    <row r="342" spans="1:17" x14ac:dyDescent="0.25">
      <c r="A342">
        <v>441</v>
      </c>
      <c r="B342" t="s">
        <v>26</v>
      </c>
      <c r="C342" t="s">
        <v>27</v>
      </c>
      <c r="D342" t="s">
        <v>42</v>
      </c>
      <c r="E342" t="s">
        <v>59</v>
      </c>
      <c r="F342">
        <v>1</v>
      </c>
      <c r="G342">
        <v>77726</v>
      </c>
      <c r="H342" t="s">
        <v>361</v>
      </c>
      <c r="J342">
        <v>20</v>
      </c>
      <c r="K342" t="s">
        <v>74</v>
      </c>
      <c r="L342" t="s">
        <v>31</v>
      </c>
      <c r="M342" t="s">
        <v>64</v>
      </c>
      <c r="N342">
        <v>62180.800000000003</v>
      </c>
      <c r="O342">
        <v>7872.05</v>
      </c>
      <c r="P342" t="s">
        <v>24</v>
      </c>
      <c r="Q342" t="s">
        <v>25</v>
      </c>
    </row>
    <row r="343" spans="1:17" x14ac:dyDescent="0.25">
      <c r="A343">
        <v>442</v>
      </c>
      <c r="B343" t="s">
        <v>96</v>
      </c>
      <c r="C343" t="s">
        <v>17</v>
      </c>
      <c r="D343" t="s">
        <v>76</v>
      </c>
      <c r="E343" t="s">
        <v>77</v>
      </c>
      <c r="F343">
        <v>6</v>
      </c>
      <c r="G343">
        <v>49814</v>
      </c>
      <c r="H343" t="s">
        <v>78</v>
      </c>
      <c r="J343">
        <v>0</v>
      </c>
      <c r="K343" t="s">
        <v>38</v>
      </c>
      <c r="L343" t="s">
        <v>46</v>
      </c>
      <c r="M343" t="s">
        <v>64</v>
      </c>
      <c r="N343">
        <v>298884</v>
      </c>
      <c r="O343">
        <v>63060.11</v>
      </c>
      <c r="P343" t="s">
        <v>65</v>
      </c>
      <c r="Q343" t="s">
        <v>25</v>
      </c>
    </row>
    <row r="344" spans="1:17" x14ac:dyDescent="0.25">
      <c r="A344">
        <v>443</v>
      </c>
      <c r="B344" t="s">
        <v>41</v>
      </c>
      <c r="C344" t="s">
        <v>17</v>
      </c>
      <c r="D344" t="s">
        <v>76</v>
      </c>
      <c r="E344" t="s">
        <v>101</v>
      </c>
      <c r="F344">
        <v>9</v>
      </c>
      <c r="G344">
        <v>73065</v>
      </c>
      <c r="H344" t="s">
        <v>354</v>
      </c>
      <c r="J344">
        <v>5</v>
      </c>
      <c r="K344" t="s">
        <v>38</v>
      </c>
      <c r="L344" t="s">
        <v>31</v>
      </c>
      <c r="M344" t="s">
        <v>50</v>
      </c>
      <c r="N344">
        <v>624705.75</v>
      </c>
      <c r="O344">
        <v>139104.17000000001</v>
      </c>
      <c r="P344" t="s">
        <v>40</v>
      </c>
      <c r="Q344" t="s">
        <v>56</v>
      </c>
    </row>
    <row r="345" spans="1:17" x14ac:dyDescent="0.25">
      <c r="A345">
        <v>444</v>
      </c>
      <c r="B345" t="s">
        <v>94</v>
      </c>
      <c r="C345" t="s">
        <v>27</v>
      </c>
      <c r="D345" t="s">
        <v>69</v>
      </c>
      <c r="E345" t="s">
        <v>70</v>
      </c>
      <c r="F345">
        <v>10</v>
      </c>
      <c r="G345">
        <v>19593</v>
      </c>
      <c r="H345" t="s">
        <v>134</v>
      </c>
      <c r="J345">
        <v>15</v>
      </c>
      <c r="K345" t="s">
        <v>54</v>
      </c>
      <c r="L345" t="s">
        <v>55</v>
      </c>
      <c r="M345" t="s">
        <v>50</v>
      </c>
      <c r="N345">
        <v>166540.5</v>
      </c>
      <c r="O345">
        <v>46066.39</v>
      </c>
      <c r="P345" t="s">
        <v>33</v>
      </c>
      <c r="Q345" t="s">
        <v>25</v>
      </c>
    </row>
    <row r="346" spans="1:17" x14ac:dyDescent="0.25">
      <c r="A346">
        <v>445</v>
      </c>
      <c r="B346" t="s">
        <v>67</v>
      </c>
      <c r="C346" t="s">
        <v>17</v>
      </c>
      <c r="D346" t="s">
        <v>76</v>
      </c>
      <c r="E346" t="s">
        <v>92</v>
      </c>
      <c r="F346">
        <v>2</v>
      </c>
      <c r="G346">
        <v>72831</v>
      </c>
      <c r="H346" t="s">
        <v>362</v>
      </c>
      <c r="J346">
        <v>0</v>
      </c>
      <c r="K346" t="s">
        <v>58</v>
      </c>
      <c r="L346" t="s">
        <v>46</v>
      </c>
      <c r="M346" t="s">
        <v>39</v>
      </c>
      <c r="N346">
        <v>145662</v>
      </c>
      <c r="O346">
        <v>18733.39</v>
      </c>
      <c r="P346" t="s">
        <v>40</v>
      </c>
      <c r="Q346" t="s">
        <v>75</v>
      </c>
    </row>
    <row r="347" spans="1:17" x14ac:dyDescent="0.25">
      <c r="A347">
        <v>446</v>
      </c>
      <c r="B347" t="s">
        <v>96</v>
      </c>
      <c r="C347" t="s">
        <v>35</v>
      </c>
      <c r="D347" t="s">
        <v>18</v>
      </c>
      <c r="E347" t="s">
        <v>19</v>
      </c>
      <c r="F347">
        <v>8</v>
      </c>
      <c r="G347">
        <v>25296</v>
      </c>
      <c r="H347" t="s">
        <v>187</v>
      </c>
      <c r="J347">
        <v>0</v>
      </c>
      <c r="K347" t="s">
        <v>54</v>
      </c>
      <c r="L347" t="s">
        <v>46</v>
      </c>
      <c r="M347" t="s">
        <v>100</v>
      </c>
      <c r="N347">
        <v>202368</v>
      </c>
      <c r="O347">
        <v>23724.77</v>
      </c>
      <c r="P347" t="s">
        <v>40</v>
      </c>
      <c r="Q347" t="s">
        <v>56</v>
      </c>
    </row>
    <row r="348" spans="1:17" x14ac:dyDescent="0.25">
      <c r="A348">
        <v>447</v>
      </c>
      <c r="B348" t="s">
        <v>84</v>
      </c>
      <c r="C348" t="s">
        <v>17</v>
      </c>
      <c r="D348" t="s">
        <v>42</v>
      </c>
      <c r="E348" t="s">
        <v>43</v>
      </c>
      <c r="F348">
        <v>10</v>
      </c>
      <c r="G348">
        <v>77556</v>
      </c>
      <c r="H348" t="s">
        <v>363</v>
      </c>
      <c r="J348">
        <v>5</v>
      </c>
      <c r="K348" t="s">
        <v>58</v>
      </c>
      <c r="L348" t="s">
        <v>55</v>
      </c>
      <c r="M348" t="s">
        <v>47</v>
      </c>
      <c r="N348">
        <v>736782</v>
      </c>
      <c r="O348">
        <v>59866.96</v>
      </c>
      <c r="P348" t="s">
        <v>33</v>
      </c>
      <c r="Q348" t="s">
        <v>25</v>
      </c>
    </row>
    <row r="349" spans="1:17" x14ac:dyDescent="0.25">
      <c r="A349">
        <v>448</v>
      </c>
      <c r="B349" t="s">
        <v>107</v>
      </c>
      <c r="C349" t="s">
        <v>68</v>
      </c>
      <c r="D349" t="s">
        <v>28</v>
      </c>
      <c r="E349" t="s">
        <v>48</v>
      </c>
      <c r="F349">
        <v>10</v>
      </c>
      <c r="G349">
        <v>51312</v>
      </c>
      <c r="H349" t="s">
        <v>364</v>
      </c>
      <c r="J349">
        <v>20</v>
      </c>
      <c r="K349" t="s">
        <v>54</v>
      </c>
      <c r="L349" t="s">
        <v>55</v>
      </c>
      <c r="M349" t="s">
        <v>39</v>
      </c>
      <c r="N349">
        <v>410496</v>
      </c>
      <c r="O349">
        <v>91802.3</v>
      </c>
      <c r="P349" t="s">
        <v>40</v>
      </c>
      <c r="Q349" t="s">
        <v>56</v>
      </c>
    </row>
    <row r="350" spans="1:17" x14ac:dyDescent="0.25">
      <c r="A350">
        <v>449</v>
      </c>
      <c r="B350" t="s">
        <v>79</v>
      </c>
      <c r="C350" t="s">
        <v>17</v>
      </c>
      <c r="D350" t="s">
        <v>42</v>
      </c>
      <c r="E350" t="s">
        <v>52</v>
      </c>
      <c r="F350">
        <v>10</v>
      </c>
      <c r="G350">
        <v>65893</v>
      </c>
      <c r="H350" t="s">
        <v>305</v>
      </c>
      <c r="J350">
        <v>20</v>
      </c>
      <c r="K350" t="s">
        <v>58</v>
      </c>
      <c r="L350" t="s">
        <v>55</v>
      </c>
      <c r="M350" t="s">
        <v>39</v>
      </c>
      <c r="N350">
        <v>527144</v>
      </c>
      <c r="O350">
        <v>143386.82999999999</v>
      </c>
      <c r="P350" t="s">
        <v>65</v>
      </c>
      <c r="Q350" t="s">
        <v>25</v>
      </c>
    </row>
    <row r="351" spans="1:17" x14ac:dyDescent="0.25">
      <c r="A351">
        <v>450</v>
      </c>
      <c r="B351" t="s">
        <v>79</v>
      </c>
      <c r="C351" t="s">
        <v>35</v>
      </c>
      <c r="D351" t="s">
        <v>76</v>
      </c>
      <c r="E351" t="s">
        <v>92</v>
      </c>
      <c r="F351">
        <v>7</v>
      </c>
      <c r="G351">
        <v>2130</v>
      </c>
      <c r="H351" t="s">
        <v>365</v>
      </c>
      <c r="J351">
        <v>20</v>
      </c>
      <c r="K351" t="s">
        <v>58</v>
      </c>
      <c r="L351" t="s">
        <v>31</v>
      </c>
      <c r="M351" t="s">
        <v>100</v>
      </c>
      <c r="N351">
        <v>11928</v>
      </c>
      <c r="O351">
        <v>1940.5</v>
      </c>
      <c r="P351" t="s">
        <v>40</v>
      </c>
      <c r="Q351" t="s">
        <v>25</v>
      </c>
    </row>
    <row r="352" spans="1:17" x14ac:dyDescent="0.25">
      <c r="A352">
        <v>451</v>
      </c>
      <c r="B352" t="s">
        <v>109</v>
      </c>
      <c r="C352" t="s">
        <v>27</v>
      </c>
      <c r="D352" t="s">
        <v>42</v>
      </c>
      <c r="E352" t="s">
        <v>43</v>
      </c>
      <c r="F352">
        <v>3</v>
      </c>
      <c r="G352">
        <v>40509</v>
      </c>
      <c r="H352" t="s">
        <v>366</v>
      </c>
      <c r="J352">
        <v>5</v>
      </c>
      <c r="K352" t="s">
        <v>21</v>
      </c>
      <c r="L352" t="s">
        <v>46</v>
      </c>
      <c r="M352" t="s">
        <v>23</v>
      </c>
      <c r="N352">
        <v>115450.65</v>
      </c>
      <c r="O352">
        <v>33890.25</v>
      </c>
      <c r="P352" t="s">
        <v>40</v>
      </c>
      <c r="Q352" t="s">
        <v>56</v>
      </c>
    </row>
    <row r="353" spans="1:17" x14ac:dyDescent="0.25">
      <c r="A353">
        <v>452</v>
      </c>
      <c r="B353" t="s">
        <v>16</v>
      </c>
      <c r="C353" t="s">
        <v>35</v>
      </c>
      <c r="D353" t="s">
        <v>42</v>
      </c>
      <c r="E353" t="s">
        <v>52</v>
      </c>
      <c r="F353">
        <v>3</v>
      </c>
      <c r="G353">
        <v>20656</v>
      </c>
      <c r="H353" t="s">
        <v>271</v>
      </c>
      <c r="J353">
        <v>15</v>
      </c>
      <c r="K353" t="s">
        <v>21</v>
      </c>
      <c r="L353" t="s">
        <v>31</v>
      </c>
      <c r="M353" t="s">
        <v>47</v>
      </c>
      <c r="N353">
        <v>52672.800000000003</v>
      </c>
      <c r="O353">
        <v>6146.87</v>
      </c>
      <c r="P353" t="s">
        <v>65</v>
      </c>
      <c r="Q353" t="s">
        <v>25</v>
      </c>
    </row>
    <row r="354" spans="1:17" x14ac:dyDescent="0.25">
      <c r="A354">
        <v>453</v>
      </c>
      <c r="B354" t="s">
        <v>96</v>
      </c>
      <c r="C354" t="s">
        <v>17</v>
      </c>
      <c r="D354" t="s">
        <v>69</v>
      </c>
      <c r="E354" t="s">
        <v>70</v>
      </c>
      <c r="F354">
        <v>3</v>
      </c>
      <c r="G354">
        <v>10329</v>
      </c>
      <c r="H354" t="s">
        <v>367</v>
      </c>
      <c r="J354">
        <v>15</v>
      </c>
      <c r="K354" t="s">
        <v>21</v>
      </c>
      <c r="L354" t="s">
        <v>46</v>
      </c>
      <c r="M354" t="s">
        <v>32</v>
      </c>
      <c r="N354">
        <v>26338.95</v>
      </c>
      <c r="O354">
        <v>5261.04</v>
      </c>
      <c r="P354" t="s">
        <v>40</v>
      </c>
      <c r="Q354" t="s">
        <v>25</v>
      </c>
    </row>
    <row r="355" spans="1:17" x14ac:dyDescent="0.25">
      <c r="A355">
        <v>454</v>
      </c>
      <c r="B355" t="s">
        <v>41</v>
      </c>
      <c r="C355" t="s">
        <v>35</v>
      </c>
      <c r="D355" t="s">
        <v>28</v>
      </c>
      <c r="E355" t="s">
        <v>29</v>
      </c>
      <c r="F355">
        <v>5</v>
      </c>
      <c r="G355">
        <v>6710</v>
      </c>
      <c r="H355" t="s">
        <v>342</v>
      </c>
      <c r="J355">
        <v>20</v>
      </c>
      <c r="K355" t="s">
        <v>54</v>
      </c>
      <c r="L355" t="s">
        <v>31</v>
      </c>
      <c r="M355" t="s">
        <v>50</v>
      </c>
      <c r="N355">
        <v>26840</v>
      </c>
      <c r="O355">
        <v>6910.38</v>
      </c>
      <c r="P355" t="s">
        <v>40</v>
      </c>
      <c r="Q355" t="s">
        <v>56</v>
      </c>
    </row>
    <row r="356" spans="1:17" x14ac:dyDescent="0.25">
      <c r="A356">
        <v>455</v>
      </c>
      <c r="B356" t="s">
        <v>107</v>
      </c>
      <c r="C356" t="s">
        <v>27</v>
      </c>
      <c r="D356" t="s">
        <v>76</v>
      </c>
      <c r="E356" t="s">
        <v>101</v>
      </c>
      <c r="F356">
        <v>9</v>
      </c>
      <c r="G356">
        <v>56363</v>
      </c>
      <c r="H356" t="s">
        <v>368</v>
      </c>
      <c r="J356">
        <v>15</v>
      </c>
      <c r="K356" t="s">
        <v>74</v>
      </c>
      <c r="L356" t="s">
        <v>31</v>
      </c>
      <c r="M356" t="s">
        <v>23</v>
      </c>
      <c r="N356">
        <v>431176.95</v>
      </c>
      <c r="O356">
        <v>41172.28</v>
      </c>
      <c r="P356" t="s">
        <v>24</v>
      </c>
      <c r="Q356" t="s">
        <v>25</v>
      </c>
    </row>
    <row r="357" spans="1:17" x14ac:dyDescent="0.25">
      <c r="A357">
        <v>456</v>
      </c>
      <c r="B357" t="s">
        <v>26</v>
      </c>
      <c r="C357" t="s">
        <v>17</v>
      </c>
      <c r="D357" t="s">
        <v>69</v>
      </c>
      <c r="E357" t="s">
        <v>121</v>
      </c>
      <c r="F357">
        <v>9</v>
      </c>
      <c r="G357">
        <v>65763</v>
      </c>
      <c r="H357" t="s">
        <v>209</v>
      </c>
      <c r="J357">
        <v>5</v>
      </c>
      <c r="K357" t="s">
        <v>58</v>
      </c>
      <c r="L357" t="s">
        <v>46</v>
      </c>
      <c r="M357" t="s">
        <v>32</v>
      </c>
      <c r="N357">
        <v>562273.65</v>
      </c>
      <c r="O357">
        <v>85292.84</v>
      </c>
      <c r="P357" t="s">
        <v>33</v>
      </c>
      <c r="Q357" t="s">
        <v>75</v>
      </c>
    </row>
    <row r="358" spans="1:17" x14ac:dyDescent="0.25">
      <c r="A358">
        <v>457</v>
      </c>
      <c r="B358" t="s">
        <v>84</v>
      </c>
      <c r="C358" t="s">
        <v>68</v>
      </c>
      <c r="D358" t="s">
        <v>69</v>
      </c>
      <c r="E358" t="s">
        <v>98</v>
      </c>
      <c r="F358">
        <v>5</v>
      </c>
      <c r="G358">
        <v>11962</v>
      </c>
      <c r="H358" t="s">
        <v>369</v>
      </c>
      <c r="J358">
        <v>10</v>
      </c>
      <c r="K358" t="s">
        <v>58</v>
      </c>
      <c r="L358" t="s">
        <v>55</v>
      </c>
      <c r="M358" t="s">
        <v>32</v>
      </c>
      <c r="N358">
        <v>53829</v>
      </c>
      <c r="O358">
        <v>7539.09</v>
      </c>
      <c r="P358" t="s">
        <v>40</v>
      </c>
      <c r="Q358" t="s">
        <v>75</v>
      </c>
    </row>
    <row r="359" spans="1:17" x14ac:dyDescent="0.25">
      <c r="A359">
        <v>458</v>
      </c>
      <c r="B359" t="s">
        <v>41</v>
      </c>
      <c r="C359" t="s">
        <v>27</v>
      </c>
      <c r="D359" t="s">
        <v>42</v>
      </c>
      <c r="E359" t="s">
        <v>52</v>
      </c>
      <c r="F359">
        <v>4</v>
      </c>
      <c r="G359">
        <v>49971</v>
      </c>
      <c r="H359" t="s">
        <v>191</v>
      </c>
      <c r="J359">
        <v>20</v>
      </c>
      <c r="K359" t="s">
        <v>45</v>
      </c>
      <c r="L359" t="s">
        <v>46</v>
      </c>
      <c r="M359" t="s">
        <v>64</v>
      </c>
      <c r="N359">
        <v>159907.20000000001</v>
      </c>
      <c r="O359">
        <v>24575.05</v>
      </c>
      <c r="P359" t="s">
        <v>65</v>
      </c>
      <c r="Q359" t="s">
        <v>75</v>
      </c>
    </row>
    <row r="360" spans="1:17" x14ac:dyDescent="0.25">
      <c r="A360">
        <v>459</v>
      </c>
      <c r="B360" t="s">
        <v>79</v>
      </c>
      <c r="C360" t="s">
        <v>35</v>
      </c>
      <c r="D360" t="s">
        <v>69</v>
      </c>
      <c r="E360" t="s">
        <v>121</v>
      </c>
      <c r="F360">
        <v>2</v>
      </c>
      <c r="G360">
        <v>41389</v>
      </c>
      <c r="H360" t="s">
        <v>171</v>
      </c>
      <c r="J360">
        <v>0</v>
      </c>
      <c r="K360" t="s">
        <v>58</v>
      </c>
      <c r="L360" t="s">
        <v>46</v>
      </c>
      <c r="M360" t="s">
        <v>32</v>
      </c>
      <c r="N360">
        <v>82778</v>
      </c>
      <c r="O360">
        <v>9588.1</v>
      </c>
      <c r="P360" t="s">
        <v>24</v>
      </c>
      <c r="Q360" t="s">
        <v>25</v>
      </c>
    </row>
    <row r="361" spans="1:17" x14ac:dyDescent="0.25">
      <c r="A361">
        <v>460</v>
      </c>
      <c r="B361" t="s">
        <v>91</v>
      </c>
      <c r="C361" t="s">
        <v>27</v>
      </c>
      <c r="D361" t="s">
        <v>69</v>
      </c>
      <c r="E361" t="s">
        <v>121</v>
      </c>
      <c r="F361">
        <v>2</v>
      </c>
      <c r="G361">
        <v>70827</v>
      </c>
      <c r="H361" t="s">
        <v>370</v>
      </c>
      <c r="J361">
        <v>15</v>
      </c>
      <c r="K361" t="s">
        <v>58</v>
      </c>
      <c r="L361" t="s">
        <v>22</v>
      </c>
      <c r="M361" t="s">
        <v>39</v>
      </c>
      <c r="N361">
        <v>120405.9</v>
      </c>
      <c r="O361">
        <v>35644.629999999997</v>
      </c>
      <c r="P361" t="s">
        <v>40</v>
      </c>
      <c r="Q361" t="s">
        <v>75</v>
      </c>
    </row>
    <row r="362" spans="1:17" x14ac:dyDescent="0.25">
      <c r="A362">
        <v>461</v>
      </c>
      <c r="B362" t="s">
        <v>51</v>
      </c>
      <c r="C362" t="s">
        <v>68</v>
      </c>
      <c r="D362" t="s">
        <v>42</v>
      </c>
      <c r="E362" t="s">
        <v>52</v>
      </c>
      <c r="F362">
        <v>9</v>
      </c>
      <c r="G362">
        <v>54043</v>
      </c>
      <c r="H362" t="s">
        <v>371</v>
      </c>
      <c r="J362">
        <v>5</v>
      </c>
      <c r="K362" t="s">
        <v>74</v>
      </c>
      <c r="L362" t="s">
        <v>46</v>
      </c>
      <c r="M362" t="s">
        <v>32</v>
      </c>
      <c r="N362">
        <v>462067.65</v>
      </c>
      <c r="O362">
        <v>100483.11</v>
      </c>
      <c r="P362" t="s">
        <v>40</v>
      </c>
      <c r="Q362" t="s">
        <v>25</v>
      </c>
    </row>
    <row r="363" spans="1:17" x14ac:dyDescent="0.25">
      <c r="A363">
        <v>462</v>
      </c>
      <c r="B363" t="s">
        <v>91</v>
      </c>
      <c r="C363" t="s">
        <v>27</v>
      </c>
      <c r="D363" t="s">
        <v>28</v>
      </c>
      <c r="E363" t="s">
        <v>48</v>
      </c>
      <c r="F363">
        <v>5</v>
      </c>
      <c r="G363">
        <v>47177</v>
      </c>
      <c r="H363" t="s">
        <v>181</v>
      </c>
      <c r="J363">
        <v>20</v>
      </c>
      <c r="K363" t="s">
        <v>21</v>
      </c>
      <c r="L363" t="s">
        <v>22</v>
      </c>
      <c r="M363" t="s">
        <v>64</v>
      </c>
      <c r="N363">
        <v>188708</v>
      </c>
      <c r="O363">
        <v>51338.38</v>
      </c>
      <c r="P363" t="s">
        <v>33</v>
      </c>
      <c r="Q363" t="s">
        <v>25</v>
      </c>
    </row>
    <row r="364" spans="1:17" x14ac:dyDescent="0.25">
      <c r="A364">
        <v>463</v>
      </c>
      <c r="B364" t="s">
        <v>109</v>
      </c>
      <c r="C364" t="s">
        <v>68</v>
      </c>
      <c r="D364" t="s">
        <v>76</v>
      </c>
      <c r="E364" t="s">
        <v>77</v>
      </c>
      <c r="F364">
        <v>3</v>
      </c>
      <c r="G364">
        <v>10360</v>
      </c>
      <c r="H364" t="s">
        <v>233</v>
      </c>
      <c r="J364">
        <v>5</v>
      </c>
      <c r="K364" t="s">
        <v>45</v>
      </c>
      <c r="L364" t="s">
        <v>46</v>
      </c>
      <c r="M364" t="s">
        <v>100</v>
      </c>
      <c r="N364">
        <v>29526</v>
      </c>
      <c r="O364">
        <v>7742.9</v>
      </c>
      <c r="P364" t="s">
        <v>24</v>
      </c>
      <c r="Q364" t="s">
        <v>56</v>
      </c>
    </row>
    <row r="365" spans="1:17" x14ac:dyDescent="0.25">
      <c r="A365">
        <v>464</v>
      </c>
      <c r="B365" t="s">
        <v>107</v>
      </c>
      <c r="C365" t="s">
        <v>27</v>
      </c>
      <c r="D365" t="s">
        <v>18</v>
      </c>
      <c r="E365" t="s">
        <v>72</v>
      </c>
      <c r="F365">
        <v>5</v>
      </c>
      <c r="G365">
        <v>55902</v>
      </c>
      <c r="H365" t="s">
        <v>372</v>
      </c>
      <c r="J365">
        <v>15</v>
      </c>
      <c r="K365" t="s">
        <v>54</v>
      </c>
      <c r="L365" t="s">
        <v>22</v>
      </c>
      <c r="M365" t="s">
        <v>100</v>
      </c>
      <c r="N365">
        <v>237583.5</v>
      </c>
      <c r="O365">
        <v>46524.72</v>
      </c>
      <c r="P365" t="s">
        <v>40</v>
      </c>
      <c r="Q365" t="s">
        <v>75</v>
      </c>
    </row>
    <row r="366" spans="1:17" x14ac:dyDescent="0.25">
      <c r="A366">
        <v>465</v>
      </c>
      <c r="B366" t="s">
        <v>96</v>
      </c>
      <c r="C366" t="s">
        <v>68</v>
      </c>
      <c r="D366" t="s">
        <v>76</v>
      </c>
      <c r="E366" t="s">
        <v>101</v>
      </c>
      <c r="F366">
        <v>7</v>
      </c>
      <c r="G366">
        <v>49884</v>
      </c>
      <c r="H366" t="s">
        <v>373</v>
      </c>
      <c r="J366">
        <v>15</v>
      </c>
      <c r="K366" t="s">
        <v>74</v>
      </c>
      <c r="L366" t="s">
        <v>55</v>
      </c>
      <c r="M366" t="s">
        <v>100</v>
      </c>
      <c r="N366">
        <v>296809.8</v>
      </c>
      <c r="O366">
        <v>51395.4</v>
      </c>
      <c r="P366" t="s">
        <v>40</v>
      </c>
      <c r="Q366" t="s">
        <v>75</v>
      </c>
    </row>
    <row r="367" spans="1:17" x14ac:dyDescent="0.25">
      <c r="A367">
        <v>466</v>
      </c>
      <c r="B367" t="s">
        <v>61</v>
      </c>
      <c r="C367" t="s">
        <v>35</v>
      </c>
      <c r="D367" t="s">
        <v>69</v>
      </c>
      <c r="E367" t="s">
        <v>70</v>
      </c>
      <c r="F367">
        <v>3</v>
      </c>
      <c r="G367">
        <v>9164</v>
      </c>
      <c r="H367" t="s">
        <v>144</v>
      </c>
      <c r="J367">
        <v>10</v>
      </c>
      <c r="K367" t="s">
        <v>58</v>
      </c>
      <c r="L367" t="s">
        <v>46</v>
      </c>
      <c r="M367" t="s">
        <v>64</v>
      </c>
      <c r="N367">
        <v>24742.799999999999</v>
      </c>
      <c r="O367">
        <v>6264.66</v>
      </c>
      <c r="P367" t="s">
        <v>40</v>
      </c>
      <c r="Q367" t="s">
        <v>56</v>
      </c>
    </row>
    <row r="368" spans="1:17" x14ac:dyDescent="0.25">
      <c r="A368">
        <v>467</v>
      </c>
      <c r="B368" t="s">
        <v>79</v>
      </c>
      <c r="C368" t="s">
        <v>27</v>
      </c>
      <c r="D368" t="s">
        <v>28</v>
      </c>
      <c r="E368" t="s">
        <v>103</v>
      </c>
      <c r="F368">
        <v>6</v>
      </c>
      <c r="G368">
        <v>78325</v>
      </c>
      <c r="H368" t="s">
        <v>374</v>
      </c>
      <c r="J368">
        <v>5</v>
      </c>
      <c r="K368" t="s">
        <v>38</v>
      </c>
      <c r="L368" t="s">
        <v>22</v>
      </c>
      <c r="M368" t="s">
        <v>23</v>
      </c>
      <c r="N368">
        <v>446452.5</v>
      </c>
      <c r="O368">
        <v>127531.62</v>
      </c>
      <c r="P368" t="s">
        <v>24</v>
      </c>
      <c r="Q368" t="s">
        <v>75</v>
      </c>
    </row>
    <row r="369" spans="1:17" x14ac:dyDescent="0.25">
      <c r="A369">
        <v>468</v>
      </c>
      <c r="B369" t="s">
        <v>91</v>
      </c>
      <c r="C369" t="s">
        <v>17</v>
      </c>
      <c r="D369" t="s">
        <v>76</v>
      </c>
      <c r="E369" t="s">
        <v>101</v>
      </c>
      <c r="F369">
        <v>2</v>
      </c>
      <c r="G369">
        <v>65872</v>
      </c>
      <c r="H369" t="s">
        <v>83</v>
      </c>
      <c r="J369">
        <v>0</v>
      </c>
      <c r="K369" t="s">
        <v>74</v>
      </c>
      <c r="L369" t="s">
        <v>46</v>
      </c>
      <c r="M369" t="s">
        <v>23</v>
      </c>
      <c r="N369">
        <v>131744</v>
      </c>
      <c r="O369">
        <v>22040.06</v>
      </c>
      <c r="P369" t="s">
        <v>33</v>
      </c>
      <c r="Q369" t="s">
        <v>56</v>
      </c>
    </row>
    <row r="370" spans="1:17" x14ac:dyDescent="0.25">
      <c r="A370">
        <v>469</v>
      </c>
      <c r="B370" t="s">
        <v>51</v>
      </c>
      <c r="C370" t="s">
        <v>17</v>
      </c>
      <c r="D370" t="s">
        <v>28</v>
      </c>
      <c r="E370" t="s">
        <v>48</v>
      </c>
      <c r="F370">
        <v>3</v>
      </c>
      <c r="G370">
        <v>61681</v>
      </c>
      <c r="H370" t="s">
        <v>375</v>
      </c>
      <c r="J370">
        <v>15</v>
      </c>
      <c r="K370" t="s">
        <v>74</v>
      </c>
      <c r="L370" t="s">
        <v>46</v>
      </c>
      <c r="M370" t="s">
        <v>64</v>
      </c>
      <c r="N370">
        <v>157286.54999999999</v>
      </c>
      <c r="O370">
        <v>21344.06</v>
      </c>
      <c r="P370" t="s">
        <v>65</v>
      </c>
      <c r="Q370" t="s">
        <v>25</v>
      </c>
    </row>
    <row r="371" spans="1:17" x14ac:dyDescent="0.25">
      <c r="A371">
        <v>470</v>
      </c>
      <c r="B371" t="s">
        <v>61</v>
      </c>
      <c r="C371" t="s">
        <v>27</v>
      </c>
      <c r="D371" t="s">
        <v>18</v>
      </c>
      <c r="E371" t="s">
        <v>36</v>
      </c>
      <c r="F371">
        <v>7</v>
      </c>
      <c r="G371">
        <v>72769</v>
      </c>
      <c r="H371" t="s">
        <v>376</v>
      </c>
      <c r="J371">
        <v>0</v>
      </c>
      <c r="K371" t="s">
        <v>54</v>
      </c>
      <c r="L371" t="s">
        <v>46</v>
      </c>
      <c r="M371" t="s">
        <v>47</v>
      </c>
      <c r="N371">
        <v>509383</v>
      </c>
      <c r="O371">
        <v>139492.39000000001</v>
      </c>
      <c r="P371" t="s">
        <v>65</v>
      </c>
      <c r="Q371" t="s">
        <v>56</v>
      </c>
    </row>
    <row r="372" spans="1:17" x14ac:dyDescent="0.25">
      <c r="A372">
        <v>471</v>
      </c>
      <c r="B372" t="s">
        <v>61</v>
      </c>
      <c r="C372" t="s">
        <v>17</v>
      </c>
      <c r="D372" t="s">
        <v>42</v>
      </c>
      <c r="E372" t="s">
        <v>52</v>
      </c>
      <c r="F372">
        <v>1</v>
      </c>
      <c r="G372">
        <v>74218</v>
      </c>
      <c r="H372" t="s">
        <v>377</v>
      </c>
      <c r="J372">
        <v>20</v>
      </c>
      <c r="K372" t="s">
        <v>21</v>
      </c>
      <c r="L372" t="s">
        <v>46</v>
      </c>
      <c r="M372" t="s">
        <v>23</v>
      </c>
      <c r="N372">
        <v>59374.400000000001</v>
      </c>
      <c r="O372">
        <v>13253.89</v>
      </c>
      <c r="P372" t="s">
        <v>65</v>
      </c>
      <c r="Q372" t="s">
        <v>56</v>
      </c>
    </row>
    <row r="373" spans="1:17" x14ac:dyDescent="0.25">
      <c r="A373">
        <v>472</v>
      </c>
      <c r="B373" t="s">
        <v>107</v>
      </c>
      <c r="C373" t="s">
        <v>68</v>
      </c>
      <c r="D373" t="s">
        <v>28</v>
      </c>
      <c r="E373" t="s">
        <v>48</v>
      </c>
      <c r="F373">
        <v>1</v>
      </c>
      <c r="G373">
        <v>17171</v>
      </c>
      <c r="H373" t="s">
        <v>378</v>
      </c>
      <c r="J373">
        <v>0</v>
      </c>
      <c r="K373" t="s">
        <v>21</v>
      </c>
      <c r="L373" t="s">
        <v>55</v>
      </c>
      <c r="M373" t="s">
        <v>47</v>
      </c>
      <c r="N373">
        <v>17171</v>
      </c>
      <c r="O373">
        <v>4686.29</v>
      </c>
      <c r="P373" t="s">
        <v>65</v>
      </c>
      <c r="Q373" t="s">
        <v>56</v>
      </c>
    </row>
    <row r="374" spans="1:17" x14ac:dyDescent="0.25">
      <c r="A374">
        <v>473</v>
      </c>
      <c r="B374" t="s">
        <v>34</v>
      </c>
      <c r="C374" t="s">
        <v>17</v>
      </c>
      <c r="D374" t="s">
        <v>28</v>
      </c>
      <c r="E374" t="s">
        <v>48</v>
      </c>
      <c r="F374">
        <v>8</v>
      </c>
      <c r="G374">
        <v>22140</v>
      </c>
      <c r="H374" t="s">
        <v>200</v>
      </c>
      <c r="J374">
        <v>15</v>
      </c>
      <c r="K374" t="s">
        <v>21</v>
      </c>
      <c r="L374" t="s">
        <v>31</v>
      </c>
      <c r="M374" t="s">
        <v>81</v>
      </c>
      <c r="N374">
        <v>150552</v>
      </c>
      <c r="O374">
        <v>31947.05</v>
      </c>
      <c r="P374" t="s">
        <v>33</v>
      </c>
      <c r="Q374" t="s">
        <v>75</v>
      </c>
    </row>
    <row r="375" spans="1:17" x14ac:dyDescent="0.25">
      <c r="A375">
        <v>474</v>
      </c>
      <c r="B375" t="s">
        <v>107</v>
      </c>
      <c r="C375" t="s">
        <v>27</v>
      </c>
      <c r="D375" t="s">
        <v>69</v>
      </c>
      <c r="E375" t="s">
        <v>121</v>
      </c>
      <c r="F375">
        <v>4</v>
      </c>
      <c r="G375">
        <v>41816</v>
      </c>
      <c r="H375" t="s">
        <v>228</v>
      </c>
      <c r="J375">
        <v>15</v>
      </c>
      <c r="K375" t="s">
        <v>45</v>
      </c>
      <c r="L375" t="s">
        <v>22</v>
      </c>
      <c r="M375" t="s">
        <v>39</v>
      </c>
      <c r="N375">
        <v>142174.39999999999</v>
      </c>
      <c r="O375">
        <v>34807.269999999997</v>
      </c>
      <c r="P375" t="s">
        <v>40</v>
      </c>
      <c r="Q375" t="s">
        <v>56</v>
      </c>
    </row>
    <row r="376" spans="1:17" x14ac:dyDescent="0.25">
      <c r="A376">
        <v>475</v>
      </c>
      <c r="B376" t="s">
        <v>51</v>
      </c>
      <c r="C376" t="s">
        <v>27</v>
      </c>
      <c r="D376" t="s">
        <v>76</v>
      </c>
      <c r="E376" t="s">
        <v>101</v>
      </c>
      <c r="F376">
        <v>7</v>
      </c>
      <c r="G376">
        <v>54886</v>
      </c>
      <c r="H376" t="s">
        <v>379</v>
      </c>
      <c r="J376">
        <v>5</v>
      </c>
      <c r="K376" t="s">
        <v>45</v>
      </c>
      <c r="L376" t="s">
        <v>46</v>
      </c>
      <c r="M376" t="s">
        <v>50</v>
      </c>
      <c r="N376">
        <v>364991.9</v>
      </c>
      <c r="O376">
        <v>40276.550000000003</v>
      </c>
      <c r="P376" t="s">
        <v>40</v>
      </c>
      <c r="Q376" t="s">
        <v>25</v>
      </c>
    </row>
    <row r="377" spans="1:17" x14ac:dyDescent="0.25">
      <c r="A377">
        <v>476</v>
      </c>
      <c r="B377" t="s">
        <v>79</v>
      </c>
      <c r="C377" t="s">
        <v>17</v>
      </c>
      <c r="D377" t="s">
        <v>18</v>
      </c>
      <c r="E377" t="s">
        <v>36</v>
      </c>
      <c r="F377">
        <v>9</v>
      </c>
      <c r="G377">
        <v>11083</v>
      </c>
      <c r="H377" t="s">
        <v>380</v>
      </c>
      <c r="J377">
        <v>15</v>
      </c>
      <c r="K377" t="s">
        <v>58</v>
      </c>
      <c r="L377" t="s">
        <v>46</v>
      </c>
      <c r="M377" t="s">
        <v>47</v>
      </c>
      <c r="N377">
        <v>84784.95</v>
      </c>
      <c r="O377">
        <v>23715.17</v>
      </c>
      <c r="P377" t="s">
        <v>40</v>
      </c>
      <c r="Q377" t="s">
        <v>56</v>
      </c>
    </row>
    <row r="378" spans="1:17" x14ac:dyDescent="0.25">
      <c r="A378">
        <v>477</v>
      </c>
      <c r="B378" t="s">
        <v>115</v>
      </c>
      <c r="C378" t="s">
        <v>17</v>
      </c>
      <c r="D378" t="s">
        <v>28</v>
      </c>
      <c r="E378" t="s">
        <v>48</v>
      </c>
      <c r="F378">
        <v>1</v>
      </c>
      <c r="G378">
        <v>23819</v>
      </c>
      <c r="H378" t="s">
        <v>189</v>
      </c>
      <c r="J378">
        <v>15</v>
      </c>
      <c r="K378" t="s">
        <v>38</v>
      </c>
      <c r="L378" t="s">
        <v>22</v>
      </c>
      <c r="M378" t="s">
        <v>39</v>
      </c>
      <c r="N378">
        <v>20246.150000000001</v>
      </c>
      <c r="O378">
        <v>5516.35</v>
      </c>
      <c r="P378" t="s">
        <v>24</v>
      </c>
      <c r="Q378" t="s">
        <v>56</v>
      </c>
    </row>
    <row r="379" spans="1:17" x14ac:dyDescent="0.25">
      <c r="A379">
        <v>478</v>
      </c>
      <c r="B379" t="s">
        <v>91</v>
      </c>
      <c r="C379" t="s">
        <v>35</v>
      </c>
      <c r="D379" t="s">
        <v>42</v>
      </c>
      <c r="E379" t="s">
        <v>59</v>
      </c>
      <c r="F379">
        <v>7</v>
      </c>
      <c r="G379">
        <v>7127</v>
      </c>
      <c r="H379" t="s">
        <v>130</v>
      </c>
      <c r="J379">
        <v>5</v>
      </c>
      <c r="K379" t="s">
        <v>38</v>
      </c>
      <c r="L379" t="s">
        <v>22</v>
      </c>
      <c r="M379" t="s">
        <v>47</v>
      </c>
      <c r="N379">
        <v>47394.55</v>
      </c>
      <c r="O379">
        <v>10109.43</v>
      </c>
      <c r="P379" t="s">
        <v>65</v>
      </c>
      <c r="Q379" t="s">
        <v>56</v>
      </c>
    </row>
    <row r="380" spans="1:17" x14ac:dyDescent="0.25">
      <c r="A380">
        <v>479</v>
      </c>
      <c r="B380" t="s">
        <v>115</v>
      </c>
      <c r="C380" t="s">
        <v>27</v>
      </c>
      <c r="D380" t="s">
        <v>28</v>
      </c>
      <c r="E380" t="s">
        <v>103</v>
      </c>
      <c r="F380">
        <v>2</v>
      </c>
      <c r="G380">
        <v>25187</v>
      </c>
      <c r="H380" t="s">
        <v>114</v>
      </c>
      <c r="J380">
        <v>5</v>
      </c>
      <c r="K380" t="s">
        <v>54</v>
      </c>
      <c r="L380" t="s">
        <v>31</v>
      </c>
      <c r="M380" t="s">
        <v>81</v>
      </c>
      <c r="N380">
        <v>47855.3</v>
      </c>
      <c r="O380">
        <v>11845.28</v>
      </c>
      <c r="P380" t="s">
        <v>65</v>
      </c>
      <c r="Q380" t="s">
        <v>56</v>
      </c>
    </row>
    <row r="381" spans="1:17" x14ac:dyDescent="0.25">
      <c r="A381">
        <v>480</v>
      </c>
      <c r="B381" t="s">
        <v>96</v>
      </c>
      <c r="C381" t="s">
        <v>17</v>
      </c>
      <c r="D381" t="s">
        <v>76</v>
      </c>
      <c r="E381" t="s">
        <v>92</v>
      </c>
      <c r="F381">
        <v>9</v>
      </c>
      <c r="G381">
        <v>37585</v>
      </c>
      <c r="H381" t="s">
        <v>348</v>
      </c>
      <c r="J381">
        <v>10</v>
      </c>
      <c r="K381" t="s">
        <v>38</v>
      </c>
      <c r="L381" t="s">
        <v>31</v>
      </c>
      <c r="M381" t="s">
        <v>100</v>
      </c>
      <c r="N381">
        <v>304438.5</v>
      </c>
      <c r="O381">
        <v>29730.11</v>
      </c>
      <c r="P381" t="s">
        <v>33</v>
      </c>
      <c r="Q381" t="s">
        <v>25</v>
      </c>
    </row>
    <row r="382" spans="1:17" x14ac:dyDescent="0.25">
      <c r="A382">
        <v>481</v>
      </c>
      <c r="B382" t="s">
        <v>107</v>
      </c>
      <c r="C382" t="s">
        <v>35</v>
      </c>
      <c r="D382" t="s">
        <v>76</v>
      </c>
      <c r="E382" t="s">
        <v>77</v>
      </c>
      <c r="F382">
        <v>8</v>
      </c>
      <c r="G382">
        <v>9187</v>
      </c>
      <c r="H382" t="s">
        <v>192</v>
      </c>
      <c r="J382">
        <v>5</v>
      </c>
      <c r="K382" t="s">
        <v>54</v>
      </c>
      <c r="L382" t="s">
        <v>31</v>
      </c>
      <c r="M382" t="s">
        <v>50</v>
      </c>
      <c r="N382">
        <v>69821.2</v>
      </c>
      <c r="O382">
        <v>12629.63</v>
      </c>
      <c r="P382" t="s">
        <v>65</v>
      </c>
      <c r="Q382" t="s">
        <v>56</v>
      </c>
    </row>
    <row r="383" spans="1:17" x14ac:dyDescent="0.25">
      <c r="A383">
        <v>482</v>
      </c>
      <c r="B383" t="s">
        <v>26</v>
      </c>
      <c r="C383" t="s">
        <v>17</v>
      </c>
      <c r="D383" t="s">
        <v>18</v>
      </c>
      <c r="E383" t="s">
        <v>19</v>
      </c>
      <c r="F383">
        <v>6</v>
      </c>
      <c r="G383">
        <v>43891</v>
      </c>
      <c r="H383" t="s">
        <v>381</v>
      </c>
      <c r="J383">
        <v>15</v>
      </c>
      <c r="K383" t="s">
        <v>21</v>
      </c>
      <c r="L383" t="s">
        <v>46</v>
      </c>
      <c r="M383" t="s">
        <v>32</v>
      </c>
      <c r="N383">
        <v>223844.1</v>
      </c>
      <c r="O383">
        <v>58724.73</v>
      </c>
      <c r="P383" t="s">
        <v>40</v>
      </c>
      <c r="Q383" t="s">
        <v>25</v>
      </c>
    </row>
    <row r="384" spans="1:17" x14ac:dyDescent="0.25">
      <c r="A384">
        <v>483</v>
      </c>
      <c r="B384" t="s">
        <v>109</v>
      </c>
      <c r="C384" t="s">
        <v>68</v>
      </c>
      <c r="D384" t="s">
        <v>76</v>
      </c>
      <c r="E384" t="s">
        <v>92</v>
      </c>
      <c r="F384">
        <v>2</v>
      </c>
      <c r="G384">
        <v>45497</v>
      </c>
      <c r="H384" t="s">
        <v>382</v>
      </c>
      <c r="J384">
        <v>5</v>
      </c>
      <c r="K384" t="s">
        <v>58</v>
      </c>
      <c r="L384" t="s">
        <v>55</v>
      </c>
      <c r="M384" t="s">
        <v>32</v>
      </c>
      <c r="N384">
        <v>86444.3</v>
      </c>
      <c r="O384">
        <v>7177.3</v>
      </c>
      <c r="P384" t="s">
        <v>24</v>
      </c>
      <c r="Q384" t="s">
        <v>56</v>
      </c>
    </row>
    <row r="385" spans="1:17" x14ac:dyDescent="0.25">
      <c r="A385">
        <v>484</v>
      </c>
      <c r="B385" t="s">
        <v>94</v>
      </c>
      <c r="C385" t="s">
        <v>35</v>
      </c>
      <c r="D385" t="s">
        <v>76</v>
      </c>
      <c r="E385" t="s">
        <v>92</v>
      </c>
      <c r="F385">
        <v>8</v>
      </c>
      <c r="G385">
        <v>27548</v>
      </c>
      <c r="H385" t="s">
        <v>229</v>
      </c>
      <c r="J385">
        <v>0</v>
      </c>
      <c r="K385" t="s">
        <v>58</v>
      </c>
      <c r="L385" t="s">
        <v>22</v>
      </c>
      <c r="M385" t="s">
        <v>39</v>
      </c>
      <c r="N385">
        <v>220384</v>
      </c>
      <c r="O385">
        <v>31514.69</v>
      </c>
      <c r="P385" t="s">
        <v>33</v>
      </c>
      <c r="Q385" t="s">
        <v>56</v>
      </c>
    </row>
    <row r="386" spans="1:17" x14ac:dyDescent="0.25">
      <c r="A386">
        <v>485</v>
      </c>
      <c r="B386" t="s">
        <v>107</v>
      </c>
      <c r="C386" t="s">
        <v>68</v>
      </c>
      <c r="D386" t="s">
        <v>76</v>
      </c>
      <c r="E386" t="s">
        <v>101</v>
      </c>
      <c r="F386">
        <v>7</v>
      </c>
      <c r="G386">
        <v>57082</v>
      </c>
      <c r="H386" t="s">
        <v>383</v>
      </c>
      <c r="J386">
        <v>15</v>
      </c>
      <c r="K386" t="s">
        <v>21</v>
      </c>
      <c r="L386" t="s">
        <v>31</v>
      </c>
      <c r="M386" t="s">
        <v>64</v>
      </c>
      <c r="N386">
        <v>339637.9</v>
      </c>
      <c r="O386">
        <v>65747.149999999994</v>
      </c>
      <c r="P386" t="s">
        <v>40</v>
      </c>
      <c r="Q386" t="s">
        <v>25</v>
      </c>
    </row>
    <row r="387" spans="1:17" x14ac:dyDescent="0.25">
      <c r="A387">
        <v>486</v>
      </c>
      <c r="B387" t="s">
        <v>107</v>
      </c>
      <c r="C387" t="s">
        <v>17</v>
      </c>
      <c r="D387" t="s">
        <v>69</v>
      </c>
      <c r="E387" t="s">
        <v>121</v>
      </c>
      <c r="F387">
        <v>4</v>
      </c>
      <c r="G387">
        <v>55587</v>
      </c>
      <c r="H387" t="s">
        <v>384</v>
      </c>
      <c r="J387">
        <v>0</v>
      </c>
      <c r="K387" t="s">
        <v>58</v>
      </c>
      <c r="L387" t="s">
        <v>46</v>
      </c>
      <c r="M387" t="s">
        <v>50</v>
      </c>
      <c r="N387">
        <v>222348</v>
      </c>
      <c r="O387">
        <v>59563.13</v>
      </c>
      <c r="P387" t="s">
        <v>33</v>
      </c>
      <c r="Q387" t="s">
        <v>56</v>
      </c>
    </row>
    <row r="388" spans="1:17" x14ac:dyDescent="0.25">
      <c r="A388">
        <v>487</v>
      </c>
      <c r="B388" t="s">
        <v>26</v>
      </c>
      <c r="C388" t="s">
        <v>68</v>
      </c>
      <c r="D388" t="s">
        <v>18</v>
      </c>
      <c r="E388" t="s">
        <v>36</v>
      </c>
      <c r="F388">
        <v>3</v>
      </c>
      <c r="G388">
        <v>58040</v>
      </c>
      <c r="H388" t="s">
        <v>206</v>
      </c>
      <c r="J388">
        <v>0</v>
      </c>
      <c r="K388" t="s">
        <v>38</v>
      </c>
      <c r="L388" t="s">
        <v>55</v>
      </c>
      <c r="M388" t="s">
        <v>64</v>
      </c>
      <c r="N388">
        <v>174120</v>
      </c>
      <c r="O388">
        <v>42875.25</v>
      </c>
      <c r="P388" t="s">
        <v>33</v>
      </c>
      <c r="Q388" t="s">
        <v>25</v>
      </c>
    </row>
    <row r="389" spans="1:17" x14ac:dyDescent="0.25">
      <c r="A389">
        <v>488</v>
      </c>
      <c r="B389" t="s">
        <v>96</v>
      </c>
      <c r="C389" t="s">
        <v>27</v>
      </c>
      <c r="D389" t="s">
        <v>18</v>
      </c>
      <c r="E389" t="s">
        <v>19</v>
      </c>
      <c r="F389">
        <v>1</v>
      </c>
      <c r="G389">
        <v>34803</v>
      </c>
      <c r="H389" t="s">
        <v>385</v>
      </c>
      <c r="J389">
        <v>10</v>
      </c>
      <c r="K389" t="s">
        <v>74</v>
      </c>
      <c r="L389" t="s">
        <v>55</v>
      </c>
      <c r="M389" t="s">
        <v>81</v>
      </c>
      <c r="N389">
        <v>31322.7</v>
      </c>
      <c r="O389">
        <v>9187.91</v>
      </c>
      <c r="P389" t="s">
        <v>24</v>
      </c>
      <c r="Q389" t="s">
        <v>56</v>
      </c>
    </row>
    <row r="390" spans="1:17" x14ac:dyDescent="0.25">
      <c r="A390">
        <v>489</v>
      </c>
      <c r="B390" t="s">
        <v>16</v>
      </c>
      <c r="C390" t="s">
        <v>17</v>
      </c>
      <c r="D390" t="s">
        <v>28</v>
      </c>
      <c r="E390" t="s">
        <v>48</v>
      </c>
      <c r="F390">
        <v>7</v>
      </c>
      <c r="G390">
        <v>31095</v>
      </c>
      <c r="H390" t="s">
        <v>386</v>
      </c>
      <c r="J390">
        <v>15</v>
      </c>
      <c r="K390" t="s">
        <v>58</v>
      </c>
      <c r="L390" t="s">
        <v>55</v>
      </c>
      <c r="M390" t="s">
        <v>64</v>
      </c>
      <c r="N390">
        <v>185015.25</v>
      </c>
      <c r="O390">
        <v>20461.650000000001</v>
      </c>
      <c r="P390" t="s">
        <v>65</v>
      </c>
      <c r="Q390" t="s">
        <v>75</v>
      </c>
    </row>
    <row r="391" spans="1:17" x14ac:dyDescent="0.25">
      <c r="A391">
        <v>490</v>
      </c>
      <c r="B391" t="s">
        <v>51</v>
      </c>
      <c r="C391" t="s">
        <v>27</v>
      </c>
      <c r="D391" t="s">
        <v>69</v>
      </c>
      <c r="E391" t="s">
        <v>121</v>
      </c>
      <c r="F391">
        <v>3</v>
      </c>
      <c r="G391">
        <v>23212</v>
      </c>
      <c r="H391" t="s">
        <v>387</v>
      </c>
      <c r="J391">
        <v>20</v>
      </c>
      <c r="K391" t="s">
        <v>74</v>
      </c>
      <c r="L391" t="s">
        <v>31</v>
      </c>
      <c r="M391" t="s">
        <v>32</v>
      </c>
      <c r="N391">
        <v>55708.800000000003</v>
      </c>
      <c r="O391">
        <v>13002.25</v>
      </c>
      <c r="P391" t="s">
        <v>33</v>
      </c>
      <c r="Q391" t="s">
        <v>75</v>
      </c>
    </row>
    <row r="392" spans="1:17" x14ac:dyDescent="0.25">
      <c r="A392">
        <v>491</v>
      </c>
      <c r="B392" t="s">
        <v>109</v>
      </c>
      <c r="C392" t="s">
        <v>68</v>
      </c>
      <c r="D392" t="s">
        <v>69</v>
      </c>
      <c r="E392" t="s">
        <v>121</v>
      </c>
      <c r="F392">
        <v>5</v>
      </c>
      <c r="G392">
        <v>39496</v>
      </c>
      <c r="H392" t="s">
        <v>388</v>
      </c>
      <c r="J392">
        <v>15</v>
      </c>
      <c r="K392" t="s">
        <v>74</v>
      </c>
      <c r="L392" t="s">
        <v>46</v>
      </c>
      <c r="M392" t="s">
        <v>64</v>
      </c>
      <c r="N392">
        <v>167858</v>
      </c>
      <c r="O392">
        <v>27921.52</v>
      </c>
      <c r="P392" t="s">
        <v>24</v>
      </c>
      <c r="Q392" t="s">
        <v>75</v>
      </c>
    </row>
    <row r="393" spans="1:17" x14ac:dyDescent="0.25">
      <c r="A393">
        <v>492</v>
      </c>
      <c r="B393" t="s">
        <v>41</v>
      </c>
      <c r="C393" t="s">
        <v>35</v>
      </c>
      <c r="D393" t="s">
        <v>76</v>
      </c>
      <c r="E393" t="s">
        <v>77</v>
      </c>
      <c r="F393">
        <v>5</v>
      </c>
      <c r="G393">
        <v>7357</v>
      </c>
      <c r="H393" t="s">
        <v>389</v>
      </c>
      <c r="J393">
        <v>15</v>
      </c>
      <c r="K393" t="s">
        <v>58</v>
      </c>
      <c r="L393" t="s">
        <v>55</v>
      </c>
      <c r="M393" t="s">
        <v>81</v>
      </c>
      <c r="N393">
        <v>31267.25</v>
      </c>
      <c r="O393">
        <v>5961.93</v>
      </c>
      <c r="P393" t="s">
        <v>65</v>
      </c>
      <c r="Q393" t="s">
        <v>56</v>
      </c>
    </row>
    <row r="394" spans="1:17" x14ac:dyDescent="0.25">
      <c r="A394">
        <v>493</v>
      </c>
      <c r="B394" t="s">
        <v>84</v>
      </c>
      <c r="C394" t="s">
        <v>35</v>
      </c>
      <c r="D394" t="s">
        <v>69</v>
      </c>
      <c r="E394" t="s">
        <v>98</v>
      </c>
      <c r="F394">
        <v>8</v>
      </c>
      <c r="G394">
        <v>10337</v>
      </c>
      <c r="H394" t="s">
        <v>272</v>
      </c>
      <c r="J394">
        <v>0</v>
      </c>
      <c r="K394" t="s">
        <v>45</v>
      </c>
      <c r="L394" t="s">
        <v>31</v>
      </c>
      <c r="M394" t="s">
        <v>81</v>
      </c>
      <c r="N394">
        <v>82696</v>
      </c>
      <c r="O394">
        <v>19488.79</v>
      </c>
      <c r="P394" t="s">
        <v>65</v>
      </c>
      <c r="Q394" t="s">
        <v>75</v>
      </c>
    </row>
    <row r="395" spans="1:17" x14ac:dyDescent="0.25">
      <c r="A395">
        <v>494</v>
      </c>
      <c r="B395" t="s">
        <v>91</v>
      </c>
      <c r="C395" t="s">
        <v>17</v>
      </c>
      <c r="D395" t="s">
        <v>28</v>
      </c>
      <c r="E395" t="s">
        <v>29</v>
      </c>
      <c r="F395">
        <v>7</v>
      </c>
      <c r="G395">
        <v>31232</v>
      </c>
      <c r="H395" t="s">
        <v>370</v>
      </c>
      <c r="J395">
        <v>15</v>
      </c>
      <c r="K395" t="s">
        <v>45</v>
      </c>
      <c r="L395" t="s">
        <v>22</v>
      </c>
      <c r="M395" t="s">
        <v>50</v>
      </c>
      <c r="N395">
        <v>185830.39999999999</v>
      </c>
      <c r="O395">
        <v>24506.14</v>
      </c>
      <c r="P395" t="s">
        <v>33</v>
      </c>
      <c r="Q395" t="s">
        <v>75</v>
      </c>
    </row>
    <row r="396" spans="1:17" x14ac:dyDescent="0.25">
      <c r="A396">
        <v>495</v>
      </c>
      <c r="B396" t="s">
        <v>107</v>
      </c>
      <c r="C396" t="s">
        <v>35</v>
      </c>
      <c r="D396" t="s">
        <v>18</v>
      </c>
      <c r="E396" t="s">
        <v>36</v>
      </c>
      <c r="F396">
        <v>4</v>
      </c>
      <c r="G396">
        <v>13271</v>
      </c>
      <c r="H396" t="s">
        <v>390</v>
      </c>
      <c r="J396">
        <v>0</v>
      </c>
      <c r="K396" t="s">
        <v>21</v>
      </c>
      <c r="L396" t="s">
        <v>22</v>
      </c>
      <c r="M396" t="s">
        <v>81</v>
      </c>
      <c r="N396">
        <v>53084</v>
      </c>
      <c r="O396">
        <v>6663.16</v>
      </c>
      <c r="P396" t="s">
        <v>33</v>
      </c>
      <c r="Q396" t="s">
        <v>56</v>
      </c>
    </row>
    <row r="397" spans="1:17" x14ac:dyDescent="0.25">
      <c r="A397">
        <v>496</v>
      </c>
      <c r="B397" t="s">
        <v>16</v>
      </c>
      <c r="C397" t="s">
        <v>35</v>
      </c>
      <c r="D397" t="s">
        <v>42</v>
      </c>
      <c r="E397" t="s">
        <v>59</v>
      </c>
      <c r="F397">
        <v>7</v>
      </c>
      <c r="G397">
        <v>43800</v>
      </c>
      <c r="H397" t="s">
        <v>391</v>
      </c>
      <c r="J397">
        <v>0</v>
      </c>
      <c r="K397" t="s">
        <v>54</v>
      </c>
      <c r="L397" t="s">
        <v>22</v>
      </c>
      <c r="M397" t="s">
        <v>23</v>
      </c>
      <c r="N397">
        <v>306600</v>
      </c>
      <c r="O397">
        <v>30285.88</v>
      </c>
      <c r="P397" t="s">
        <v>65</v>
      </c>
      <c r="Q397" t="s">
        <v>25</v>
      </c>
    </row>
    <row r="398" spans="1:17" x14ac:dyDescent="0.25">
      <c r="A398">
        <v>497</v>
      </c>
      <c r="B398" t="s">
        <v>41</v>
      </c>
      <c r="C398" t="s">
        <v>17</v>
      </c>
      <c r="D398" t="s">
        <v>69</v>
      </c>
      <c r="E398" t="s">
        <v>121</v>
      </c>
      <c r="F398">
        <v>8</v>
      </c>
      <c r="G398">
        <v>49494</v>
      </c>
      <c r="H398" t="s">
        <v>392</v>
      </c>
      <c r="J398">
        <v>5</v>
      </c>
      <c r="K398" t="s">
        <v>54</v>
      </c>
      <c r="L398" t="s">
        <v>55</v>
      </c>
      <c r="M398" t="s">
        <v>50</v>
      </c>
      <c r="N398">
        <v>376154.4</v>
      </c>
      <c r="O398">
        <v>107636.27</v>
      </c>
      <c r="P398" t="s">
        <v>24</v>
      </c>
      <c r="Q398" t="s">
        <v>75</v>
      </c>
    </row>
    <row r="399" spans="1:17" x14ac:dyDescent="0.25">
      <c r="A399">
        <v>498</v>
      </c>
      <c r="B399" t="s">
        <v>34</v>
      </c>
      <c r="C399" t="s">
        <v>17</v>
      </c>
      <c r="D399" t="s">
        <v>28</v>
      </c>
      <c r="E399" t="s">
        <v>48</v>
      </c>
      <c r="F399">
        <v>5</v>
      </c>
      <c r="G399">
        <v>17373</v>
      </c>
      <c r="H399" t="s">
        <v>393</v>
      </c>
      <c r="J399">
        <v>10</v>
      </c>
      <c r="K399" t="s">
        <v>74</v>
      </c>
      <c r="L399" t="s">
        <v>31</v>
      </c>
      <c r="M399" t="s">
        <v>81</v>
      </c>
      <c r="N399">
        <v>78178.5</v>
      </c>
      <c r="O399">
        <v>13018.21</v>
      </c>
      <c r="P399" t="s">
        <v>33</v>
      </c>
      <c r="Q399" t="s">
        <v>56</v>
      </c>
    </row>
    <row r="400" spans="1:17" x14ac:dyDescent="0.25">
      <c r="A400">
        <v>499</v>
      </c>
      <c r="B400" t="s">
        <v>79</v>
      </c>
      <c r="C400" t="s">
        <v>27</v>
      </c>
      <c r="D400" t="s">
        <v>28</v>
      </c>
      <c r="E400" t="s">
        <v>48</v>
      </c>
      <c r="F400">
        <v>1</v>
      </c>
      <c r="G400">
        <v>45804</v>
      </c>
      <c r="H400" t="s">
        <v>394</v>
      </c>
      <c r="J400">
        <v>20</v>
      </c>
      <c r="K400" t="s">
        <v>74</v>
      </c>
      <c r="L400" t="s">
        <v>55</v>
      </c>
      <c r="M400" t="s">
        <v>32</v>
      </c>
      <c r="N400">
        <v>36643.199999999997</v>
      </c>
      <c r="O400">
        <v>9573.84</v>
      </c>
      <c r="P400" t="s">
        <v>65</v>
      </c>
      <c r="Q400" t="s">
        <v>25</v>
      </c>
    </row>
    <row r="401" spans="1:17" x14ac:dyDescent="0.25">
      <c r="A401">
        <v>500</v>
      </c>
      <c r="B401" t="s">
        <v>41</v>
      </c>
      <c r="C401" t="s">
        <v>68</v>
      </c>
      <c r="D401" t="s">
        <v>42</v>
      </c>
      <c r="E401" t="s">
        <v>59</v>
      </c>
      <c r="F401">
        <v>6</v>
      </c>
      <c r="G401">
        <v>79891</v>
      </c>
      <c r="H401" t="s">
        <v>395</v>
      </c>
      <c r="J401">
        <v>5</v>
      </c>
      <c r="K401" t="s">
        <v>54</v>
      </c>
      <c r="L401" t="s">
        <v>55</v>
      </c>
      <c r="M401" t="s">
        <v>23</v>
      </c>
      <c r="N401">
        <v>455378.7</v>
      </c>
      <c r="O401">
        <v>39983.96</v>
      </c>
      <c r="P401" t="s">
        <v>65</v>
      </c>
      <c r="Q401" t="s">
        <v>56</v>
      </c>
    </row>
    <row r="402" spans="1:17" x14ac:dyDescent="0.25">
      <c r="A402">
        <v>501</v>
      </c>
      <c r="B402" t="s">
        <v>96</v>
      </c>
      <c r="C402" t="s">
        <v>17</v>
      </c>
      <c r="D402" t="s">
        <v>18</v>
      </c>
      <c r="E402" t="s">
        <v>62</v>
      </c>
      <c r="F402">
        <v>10</v>
      </c>
      <c r="G402">
        <v>11468</v>
      </c>
      <c r="H402" t="s">
        <v>396</v>
      </c>
      <c r="J402">
        <v>15</v>
      </c>
      <c r="K402" t="s">
        <v>74</v>
      </c>
      <c r="L402" t="s">
        <v>22</v>
      </c>
      <c r="M402" t="s">
        <v>47</v>
      </c>
      <c r="N402">
        <v>97478</v>
      </c>
      <c r="O402">
        <v>10257.15</v>
      </c>
      <c r="P402" t="s">
        <v>65</v>
      </c>
      <c r="Q402" t="s">
        <v>25</v>
      </c>
    </row>
    <row r="403" spans="1:17" x14ac:dyDescent="0.25">
      <c r="A403">
        <v>502</v>
      </c>
      <c r="B403" t="s">
        <v>109</v>
      </c>
      <c r="C403" t="s">
        <v>68</v>
      </c>
      <c r="D403" t="s">
        <v>42</v>
      </c>
      <c r="E403" t="s">
        <v>59</v>
      </c>
      <c r="F403">
        <v>8</v>
      </c>
      <c r="G403">
        <v>23573</v>
      </c>
      <c r="H403" t="s">
        <v>196</v>
      </c>
      <c r="J403">
        <v>0</v>
      </c>
      <c r="K403" t="s">
        <v>74</v>
      </c>
      <c r="L403" t="s">
        <v>55</v>
      </c>
      <c r="M403" t="s">
        <v>81</v>
      </c>
      <c r="N403">
        <v>188584</v>
      </c>
      <c r="O403">
        <v>53228.59</v>
      </c>
      <c r="P403" t="s">
        <v>24</v>
      </c>
      <c r="Q403" t="s">
        <v>56</v>
      </c>
    </row>
    <row r="404" spans="1:17" x14ac:dyDescent="0.25">
      <c r="A404">
        <v>503</v>
      </c>
      <c r="B404" t="s">
        <v>107</v>
      </c>
      <c r="C404" t="s">
        <v>27</v>
      </c>
      <c r="D404" t="s">
        <v>42</v>
      </c>
      <c r="E404" t="s">
        <v>52</v>
      </c>
      <c r="F404">
        <v>6</v>
      </c>
      <c r="G404">
        <v>66039</v>
      </c>
      <c r="H404" t="s">
        <v>397</v>
      </c>
      <c r="J404">
        <v>20</v>
      </c>
      <c r="K404" t="s">
        <v>38</v>
      </c>
      <c r="L404" t="s">
        <v>22</v>
      </c>
      <c r="M404" t="s">
        <v>81</v>
      </c>
      <c r="N404">
        <v>316987.2</v>
      </c>
      <c r="O404">
        <v>56287.96</v>
      </c>
      <c r="P404" t="s">
        <v>65</v>
      </c>
      <c r="Q404" t="s">
        <v>25</v>
      </c>
    </row>
    <row r="405" spans="1:17" x14ac:dyDescent="0.25">
      <c r="A405">
        <v>504</v>
      </c>
      <c r="B405" t="s">
        <v>91</v>
      </c>
      <c r="C405" t="s">
        <v>68</v>
      </c>
      <c r="D405" t="s">
        <v>69</v>
      </c>
      <c r="E405" t="s">
        <v>98</v>
      </c>
      <c r="F405">
        <v>2</v>
      </c>
      <c r="G405">
        <v>31877</v>
      </c>
      <c r="H405" t="s">
        <v>127</v>
      </c>
      <c r="J405">
        <v>15</v>
      </c>
      <c r="K405" t="s">
        <v>74</v>
      </c>
      <c r="L405" t="s">
        <v>55</v>
      </c>
      <c r="M405" t="s">
        <v>81</v>
      </c>
      <c r="N405">
        <v>54190.9</v>
      </c>
      <c r="O405">
        <v>7394.92</v>
      </c>
      <c r="P405" t="s">
        <v>65</v>
      </c>
      <c r="Q405" t="s">
        <v>25</v>
      </c>
    </row>
    <row r="406" spans="1:17" x14ac:dyDescent="0.25">
      <c r="A406">
        <v>505</v>
      </c>
      <c r="B406" t="s">
        <v>109</v>
      </c>
      <c r="C406" t="s">
        <v>27</v>
      </c>
      <c r="D406" t="s">
        <v>69</v>
      </c>
      <c r="E406" t="s">
        <v>121</v>
      </c>
      <c r="F406">
        <v>7</v>
      </c>
      <c r="G406">
        <v>77949</v>
      </c>
      <c r="H406" t="s">
        <v>398</v>
      </c>
      <c r="J406">
        <v>0</v>
      </c>
      <c r="K406" t="s">
        <v>21</v>
      </c>
      <c r="L406" t="s">
        <v>46</v>
      </c>
      <c r="M406" t="s">
        <v>47</v>
      </c>
      <c r="N406">
        <v>545643</v>
      </c>
      <c r="O406">
        <v>115993.87</v>
      </c>
      <c r="P406" t="s">
        <v>24</v>
      </c>
      <c r="Q406" t="s">
        <v>75</v>
      </c>
    </row>
    <row r="407" spans="1:17" x14ac:dyDescent="0.25">
      <c r="A407">
        <v>506</v>
      </c>
      <c r="B407" t="s">
        <v>41</v>
      </c>
      <c r="C407" t="s">
        <v>68</v>
      </c>
      <c r="D407" t="s">
        <v>42</v>
      </c>
      <c r="E407" t="s">
        <v>43</v>
      </c>
      <c r="F407">
        <v>10</v>
      </c>
      <c r="G407">
        <v>5158</v>
      </c>
      <c r="H407" t="s">
        <v>214</v>
      </c>
      <c r="J407">
        <v>5</v>
      </c>
      <c r="K407" t="s">
        <v>58</v>
      </c>
      <c r="L407" t="s">
        <v>22</v>
      </c>
      <c r="M407" t="s">
        <v>47</v>
      </c>
      <c r="N407">
        <v>49001</v>
      </c>
      <c r="O407">
        <v>13243.07</v>
      </c>
      <c r="P407" t="s">
        <v>24</v>
      </c>
      <c r="Q407" t="s">
        <v>25</v>
      </c>
    </row>
    <row r="408" spans="1:17" x14ac:dyDescent="0.25">
      <c r="A408">
        <v>507</v>
      </c>
      <c r="B408" t="s">
        <v>51</v>
      </c>
      <c r="C408" t="s">
        <v>17</v>
      </c>
      <c r="D408" t="s">
        <v>18</v>
      </c>
      <c r="E408" t="s">
        <v>72</v>
      </c>
      <c r="F408">
        <v>8</v>
      </c>
      <c r="G408">
        <v>7898</v>
      </c>
      <c r="H408" t="s">
        <v>232</v>
      </c>
      <c r="J408">
        <v>5</v>
      </c>
      <c r="K408" t="s">
        <v>45</v>
      </c>
      <c r="L408" t="s">
        <v>55</v>
      </c>
      <c r="M408" t="s">
        <v>50</v>
      </c>
      <c r="N408">
        <v>60024.800000000003</v>
      </c>
      <c r="O408">
        <v>13758.16</v>
      </c>
      <c r="P408" t="s">
        <v>24</v>
      </c>
      <c r="Q408" t="s">
        <v>25</v>
      </c>
    </row>
    <row r="409" spans="1:17" x14ac:dyDescent="0.25">
      <c r="A409">
        <v>508</v>
      </c>
      <c r="B409" t="s">
        <v>79</v>
      </c>
      <c r="C409" t="s">
        <v>17</v>
      </c>
      <c r="D409" t="s">
        <v>18</v>
      </c>
      <c r="E409" t="s">
        <v>72</v>
      </c>
      <c r="F409">
        <v>6</v>
      </c>
      <c r="G409">
        <v>58493</v>
      </c>
      <c r="H409" t="s">
        <v>334</v>
      </c>
      <c r="J409">
        <v>15</v>
      </c>
      <c r="K409" t="s">
        <v>38</v>
      </c>
      <c r="L409" t="s">
        <v>46</v>
      </c>
      <c r="M409" t="s">
        <v>100</v>
      </c>
      <c r="N409">
        <v>298314.3</v>
      </c>
      <c r="O409">
        <v>37305.040000000001</v>
      </c>
      <c r="P409" t="s">
        <v>40</v>
      </c>
      <c r="Q409" t="s">
        <v>75</v>
      </c>
    </row>
    <row r="410" spans="1:17" x14ac:dyDescent="0.25">
      <c r="A410">
        <v>509</v>
      </c>
      <c r="B410" t="s">
        <v>84</v>
      </c>
      <c r="C410" t="s">
        <v>68</v>
      </c>
      <c r="D410" t="s">
        <v>76</v>
      </c>
      <c r="E410" t="s">
        <v>77</v>
      </c>
      <c r="F410">
        <v>5</v>
      </c>
      <c r="G410">
        <v>44259</v>
      </c>
      <c r="H410" t="s">
        <v>359</v>
      </c>
      <c r="J410">
        <v>0</v>
      </c>
      <c r="K410" t="s">
        <v>38</v>
      </c>
      <c r="L410" t="s">
        <v>46</v>
      </c>
      <c r="M410" t="s">
        <v>39</v>
      </c>
      <c r="N410">
        <v>221295</v>
      </c>
      <c r="O410">
        <v>48790.83</v>
      </c>
      <c r="P410" t="s">
        <v>24</v>
      </c>
      <c r="Q410" t="s">
        <v>56</v>
      </c>
    </row>
    <row r="411" spans="1:17" x14ac:dyDescent="0.25">
      <c r="A411">
        <v>510</v>
      </c>
      <c r="B411" t="s">
        <v>67</v>
      </c>
      <c r="C411" t="s">
        <v>35</v>
      </c>
      <c r="D411" t="s">
        <v>76</v>
      </c>
      <c r="E411" t="s">
        <v>92</v>
      </c>
      <c r="F411">
        <v>2</v>
      </c>
      <c r="G411">
        <v>60619</v>
      </c>
      <c r="H411" t="s">
        <v>399</v>
      </c>
      <c r="J411">
        <v>0</v>
      </c>
      <c r="K411" t="s">
        <v>58</v>
      </c>
      <c r="L411" t="s">
        <v>55</v>
      </c>
      <c r="M411" t="s">
        <v>81</v>
      </c>
      <c r="N411">
        <v>121238</v>
      </c>
      <c r="O411">
        <v>25599.37</v>
      </c>
      <c r="P411" t="s">
        <v>24</v>
      </c>
      <c r="Q411" t="s">
        <v>75</v>
      </c>
    </row>
    <row r="412" spans="1:17" x14ac:dyDescent="0.25">
      <c r="A412">
        <v>511</v>
      </c>
      <c r="B412" t="s">
        <v>79</v>
      </c>
      <c r="C412" t="s">
        <v>27</v>
      </c>
      <c r="D412" t="s">
        <v>28</v>
      </c>
      <c r="E412" t="s">
        <v>103</v>
      </c>
      <c r="F412">
        <v>9</v>
      </c>
      <c r="G412">
        <v>11947</v>
      </c>
      <c r="H412" t="s">
        <v>378</v>
      </c>
      <c r="J412">
        <v>5</v>
      </c>
      <c r="K412" t="s">
        <v>58</v>
      </c>
      <c r="L412" t="s">
        <v>31</v>
      </c>
      <c r="M412" t="s">
        <v>50</v>
      </c>
      <c r="N412">
        <v>102146.85</v>
      </c>
      <c r="O412">
        <v>22653.52</v>
      </c>
      <c r="P412" t="s">
        <v>24</v>
      </c>
      <c r="Q412" t="s">
        <v>75</v>
      </c>
    </row>
    <row r="413" spans="1:17" x14ac:dyDescent="0.25">
      <c r="A413">
        <v>512</v>
      </c>
      <c r="B413" t="s">
        <v>61</v>
      </c>
      <c r="C413" t="s">
        <v>17</v>
      </c>
      <c r="D413" t="s">
        <v>18</v>
      </c>
      <c r="E413" t="s">
        <v>62</v>
      </c>
      <c r="F413">
        <v>2</v>
      </c>
      <c r="G413">
        <v>19149</v>
      </c>
      <c r="H413" t="s">
        <v>400</v>
      </c>
      <c r="J413">
        <v>0</v>
      </c>
      <c r="K413" t="s">
        <v>45</v>
      </c>
      <c r="L413" t="s">
        <v>46</v>
      </c>
      <c r="M413" t="s">
        <v>23</v>
      </c>
      <c r="N413">
        <v>38298</v>
      </c>
      <c r="O413">
        <v>5302.6</v>
      </c>
      <c r="P413" t="s">
        <v>24</v>
      </c>
      <c r="Q413" t="s">
        <v>25</v>
      </c>
    </row>
    <row r="414" spans="1:17" x14ac:dyDescent="0.25">
      <c r="A414">
        <v>513</v>
      </c>
      <c r="B414" t="s">
        <v>61</v>
      </c>
      <c r="C414" t="s">
        <v>27</v>
      </c>
      <c r="D414" t="s">
        <v>42</v>
      </c>
      <c r="E414" t="s">
        <v>59</v>
      </c>
      <c r="F414">
        <v>2</v>
      </c>
      <c r="G414">
        <v>66394</v>
      </c>
      <c r="H414" t="s">
        <v>337</v>
      </c>
      <c r="J414">
        <v>0</v>
      </c>
      <c r="K414" t="s">
        <v>58</v>
      </c>
      <c r="L414" t="s">
        <v>31</v>
      </c>
      <c r="M414" t="s">
        <v>100</v>
      </c>
      <c r="N414">
        <v>132788</v>
      </c>
      <c r="O414">
        <v>24710.01</v>
      </c>
      <c r="P414" t="s">
        <v>33</v>
      </c>
      <c r="Q414" t="s">
        <v>75</v>
      </c>
    </row>
    <row r="415" spans="1:17" x14ac:dyDescent="0.25">
      <c r="A415">
        <v>514</v>
      </c>
      <c r="B415" t="s">
        <v>41</v>
      </c>
      <c r="C415" t="s">
        <v>68</v>
      </c>
      <c r="D415" t="s">
        <v>28</v>
      </c>
      <c r="E415" t="s">
        <v>29</v>
      </c>
      <c r="F415">
        <v>3</v>
      </c>
      <c r="G415">
        <v>45245</v>
      </c>
      <c r="H415" t="s">
        <v>401</v>
      </c>
      <c r="J415">
        <v>0</v>
      </c>
      <c r="K415" t="s">
        <v>58</v>
      </c>
      <c r="L415" t="s">
        <v>22</v>
      </c>
      <c r="M415" t="s">
        <v>39</v>
      </c>
      <c r="N415">
        <v>135735</v>
      </c>
      <c r="O415">
        <v>35929.81</v>
      </c>
      <c r="P415" t="s">
        <v>33</v>
      </c>
      <c r="Q415" t="s">
        <v>25</v>
      </c>
    </row>
    <row r="416" spans="1:17" x14ac:dyDescent="0.25">
      <c r="A416">
        <v>515</v>
      </c>
      <c r="B416" t="s">
        <v>79</v>
      </c>
      <c r="C416" t="s">
        <v>17</v>
      </c>
      <c r="D416" t="s">
        <v>76</v>
      </c>
      <c r="E416" t="s">
        <v>77</v>
      </c>
      <c r="F416">
        <v>10</v>
      </c>
      <c r="G416">
        <v>67494</v>
      </c>
      <c r="H416" t="s">
        <v>108</v>
      </c>
      <c r="J416">
        <v>5</v>
      </c>
      <c r="K416" t="s">
        <v>45</v>
      </c>
      <c r="L416" t="s">
        <v>31</v>
      </c>
      <c r="M416" t="s">
        <v>81</v>
      </c>
      <c r="N416">
        <v>641193</v>
      </c>
      <c r="O416">
        <v>186135.21</v>
      </c>
      <c r="P416" t="s">
        <v>65</v>
      </c>
      <c r="Q416" t="s">
        <v>56</v>
      </c>
    </row>
    <row r="417" spans="1:17" x14ac:dyDescent="0.25">
      <c r="A417">
        <v>516</v>
      </c>
      <c r="B417" t="s">
        <v>51</v>
      </c>
      <c r="C417" t="s">
        <v>17</v>
      </c>
      <c r="D417" t="s">
        <v>69</v>
      </c>
      <c r="E417" t="s">
        <v>121</v>
      </c>
      <c r="F417">
        <v>2</v>
      </c>
      <c r="G417">
        <v>68346</v>
      </c>
      <c r="H417" t="s">
        <v>402</v>
      </c>
      <c r="J417">
        <v>5</v>
      </c>
      <c r="K417" t="s">
        <v>74</v>
      </c>
      <c r="L417" t="s">
        <v>46</v>
      </c>
      <c r="M417" t="s">
        <v>23</v>
      </c>
      <c r="N417">
        <v>129857.4</v>
      </c>
      <c r="O417">
        <v>37486.81</v>
      </c>
      <c r="P417" t="s">
        <v>40</v>
      </c>
      <c r="Q417" t="s">
        <v>25</v>
      </c>
    </row>
    <row r="418" spans="1:17" x14ac:dyDescent="0.25">
      <c r="A418">
        <v>517</v>
      </c>
      <c r="B418" t="s">
        <v>94</v>
      </c>
      <c r="C418" t="s">
        <v>17</v>
      </c>
      <c r="D418" t="s">
        <v>28</v>
      </c>
      <c r="E418" t="s">
        <v>48</v>
      </c>
      <c r="F418">
        <v>9</v>
      </c>
      <c r="G418">
        <v>28423</v>
      </c>
      <c r="H418" t="s">
        <v>264</v>
      </c>
      <c r="J418">
        <v>0</v>
      </c>
      <c r="K418" t="s">
        <v>74</v>
      </c>
      <c r="L418" t="s">
        <v>31</v>
      </c>
      <c r="M418" t="s">
        <v>47</v>
      </c>
      <c r="N418">
        <v>255807</v>
      </c>
      <c r="O418">
        <v>57740.14</v>
      </c>
      <c r="P418" t="s">
        <v>40</v>
      </c>
      <c r="Q418" t="s">
        <v>56</v>
      </c>
    </row>
    <row r="419" spans="1:17" x14ac:dyDescent="0.25">
      <c r="A419">
        <v>518</v>
      </c>
      <c r="B419" t="s">
        <v>91</v>
      </c>
      <c r="C419" t="s">
        <v>35</v>
      </c>
      <c r="D419" t="s">
        <v>42</v>
      </c>
      <c r="E419" t="s">
        <v>43</v>
      </c>
      <c r="F419">
        <v>2</v>
      </c>
      <c r="G419">
        <v>22001</v>
      </c>
      <c r="H419" t="s">
        <v>403</v>
      </c>
      <c r="J419">
        <v>5</v>
      </c>
      <c r="K419" t="s">
        <v>74</v>
      </c>
      <c r="L419" t="s">
        <v>22</v>
      </c>
      <c r="M419" t="s">
        <v>47</v>
      </c>
      <c r="N419">
        <v>41801.9</v>
      </c>
      <c r="O419">
        <v>11763.82</v>
      </c>
      <c r="P419" t="s">
        <v>33</v>
      </c>
      <c r="Q419" t="s">
        <v>56</v>
      </c>
    </row>
    <row r="420" spans="1:17" x14ac:dyDescent="0.25">
      <c r="A420">
        <v>519</v>
      </c>
      <c r="B420" t="s">
        <v>109</v>
      </c>
      <c r="C420" t="s">
        <v>17</v>
      </c>
      <c r="D420" t="s">
        <v>76</v>
      </c>
      <c r="E420" t="s">
        <v>101</v>
      </c>
      <c r="F420">
        <v>3</v>
      </c>
      <c r="G420">
        <v>13961</v>
      </c>
      <c r="H420" t="s">
        <v>313</v>
      </c>
      <c r="J420">
        <v>20</v>
      </c>
      <c r="K420" t="s">
        <v>38</v>
      </c>
      <c r="L420" t="s">
        <v>46</v>
      </c>
      <c r="M420" t="s">
        <v>81</v>
      </c>
      <c r="N420">
        <v>33506.400000000001</v>
      </c>
      <c r="O420">
        <v>7005.05</v>
      </c>
      <c r="P420" t="s">
        <v>24</v>
      </c>
      <c r="Q420" t="s">
        <v>56</v>
      </c>
    </row>
    <row r="421" spans="1:17" x14ac:dyDescent="0.25">
      <c r="A421">
        <v>520</v>
      </c>
      <c r="B421" t="s">
        <v>91</v>
      </c>
      <c r="C421" t="s">
        <v>27</v>
      </c>
      <c r="D421" t="s">
        <v>18</v>
      </c>
      <c r="E421" t="s">
        <v>19</v>
      </c>
      <c r="F421">
        <v>2</v>
      </c>
      <c r="G421">
        <v>65486</v>
      </c>
      <c r="H421" t="s">
        <v>404</v>
      </c>
      <c r="J421">
        <v>5</v>
      </c>
      <c r="K421" t="s">
        <v>38</v>
      </c>
      <c r="L421" t="s">
        <v>46</v>
      </c>
      <c r="M421" t="s">
        <v>39</v>
      </c>
      <c r="N421">
        <v>124423.4</v>
      </c>
      <c r="O421">
        <v>26995.95</v>
      </c>
      <c r="P421" t="s">
        <v>33</v>
      </c>
      <c r="Q421" t="s">
        <v>25</v>
      </c>
    </row>
    <row r="422" spans="1:17" x14ac:dyDescent="0.25">
      <c r="A422">
        <v>521</v>
      </c>
      <c r="B422" t="s">
        <v>67</v>
      </c>
      <c r="C422" t="s">
        <v>27</v>
      </c>
      <c r="D422" t="s">
        <v>42</v>
      </c>
      <c r="E422" t="s">
        <v>43</v>
      </c>
      <c r="F422">
        <v>8</v>
      </c>
      <c r="G422">
        <v>39894</v>
      </c>
      <c r="H422" t="s">
        <v>405</v>
      </c>
      <c r="J422">
        <v>20</v>
      </c>
      <c r="K422" t="s">
        <v>74</v>
      </c>
      <c r="L422" t="s">
        <v>31</v>
      </c>
      <c r="M422" t="s">
        <v>47</v>
      </c>
      <c r="N422">
        <v>255321.60000000001</v>
      </c>
      <c r="O422">
        <v>37601.25</v>
      </c>
      <c r="P422" t="s">
        <v>24</v>
      </c>
      <c r="Q422" t="s">
        <v>25</v>
      </c>
    </row>
    <row r="423" spans="1:17" x14ac:dyDescent="0.25">
      <c r="A423">
        <v>522</v>
      </c>
      <c r="B423" t="s">
        <v>115</v>
      </c>
      <c r="C423" t="s">
        <v>17</v>
      </c>
      <c r="D423" t="s">
        <v>28</v>
      </c>
      <c r="E423" t="s">
        <v>103</v>
      </c>
      <c r="F423">
        <v>1</v>
      </c>
      <c r="G423">
        <v>79735</v>
      </c>
      <c r="H423" t="s">
        <v>406</v>
      </c>
      <c r="J423">
        <v>20</v>
      </c>
      <c r="K423" t="s">
        <v>74</v>
      </c>
      <c r="L423" t="s">
        <v>46</v>
      </c>
      <c r="M423" t="s">
        <v>23</v>
      </c>
      <c r="N423">
        <v>63788</v>
      </c>
      <c r="O423">
        <v>11822.18</v>
      </c>
      <c r="P423" t="s">
        <v>24</v>
      </c>
      <c r="Q423" t="s">
        <v>56</v>
      </c>
    </row>
    <row r="424" spans="1:17" x14ac:dyDescent="0.25">
      <c r="A424">
        <v>523</v>
      </c>
      <c r="B424" t="s">
        <v>26</v>
      </c>
      <c r="C424" t="s">
        <v>35</v>
      </c>
      <c r="D424" t="s">
        <v>42</v>
      </c>
      <c r="E424" t="s">
        <v>43</v>
      </c>
      <c r="F424">
        <v>9</v>
      </c>
      <c r="G424">
        <v>49771</v>
      </c>
      <c r="H424" t="s">
        <v>407</v>
      </c>
      <c r="J424">
        <v>5</v>
      </c>
      <c r="K424" t="s">
        <v>74</v>
      </c>
      <c r="L424" t="s">
        <v>22</v>
      </c>
      <c r="M424" t="s">
        <v>81</v>
      </c>
      <c r="N424">
        <v>425542.05</v>
      </c>
      <c r="O424">
        <v>34626.239999999998</v>
      </c>
      <c r="P424" t="s">
        <v>65</v>
      </c>
      <c r="Q424" t="s">
        <v>56</v>
      </c>
    </row>
    <row r="425" spans="1:17" x14ac:dyDescent="0.25">
      <c r="A425">
        <v>524</v>
      </c>
      <c r="B425" t="s">
        <v>84</v>
      </c>
      <c r="C425" t="s">
        <v>68</v>
      </c>
      <c r="D425" t="s">
        <v>42</v>
      </c>
      <c r="E425" t="s">
        <v>43</v>
      </c>
      <c r="F425">
        <v>2</v>
      </c>
      <c r="G425">
        <v>11325</v>
      </c>
      <c r="H425" t="s">
        <v>408</v>
      </c>
      <c r="J425">
        <v>5</v>
      </c>
      <c r="K425" t="s">
        <v>38</v>
      </c>
      <c r="L425" t="s">
        <v>55</v>
      </c>
      <c r="M425" t="s">
        <v>64</v>
      </c>
      <c r="N425">
        <v>21517.5</v>
      </c>
      <c r="O425">
        <v>5954.72</v>
      </c>
      <c r="P425" t="s">
        <v>40</v>
      </c>
      <c r="Q425" t="s">
        <v>25</v>
      </c>
    </row>
    <row r="426" spans="1:17" x14ac:dyDescent="0.25">
      <c r="A426">
        <v>525</v>
      </c>
      <c r="B426" t="s">
        <v>94</v>
      </c>
      <c r="C426" t="s">
        <v>35</v>
      </c>
      <c r="D426" t="s">
        <v>28</v>
      </c>
      <c r="E426" t="s">
        <v>48</v>
      </c>
      <c r="F426">
        <v>4</v>
      </c>
      <c r="G426">
        <v>53232</v>
      </c>
      <c r="H426" t="s">
        <v>311</v>
      </c>
      <c r="J426">
        <v>15</v>
      </c>
      <c r="K426" t="s">
        <v>21</v>
      </c>
      <c r="L426" t="s">
        <v>46</v>
      </c>
      <c r="M426" t="s">
        <v>39</v>
      </c>
      <c r="N426">
        <v>180988.79999999999</v>
      </c>
      <c r="O426">
        <v>42164.25</v>
      </c>
      <c r="P426" t="s">
        <v>65</v>
      </c>
      <c r="Q426" t="s">
        <v>56</v>
      </c>
    </row>
    <row r="427" spans="1:17" x14ac:dyDescent="0.25">
      <c r="A427">
        <v>526</v>
      </c>
      <c r="B427" t="s">
        <v>96</v>
      </c>
      <c r="C427" t="s">
        <v>68</v>
      </c>
      <c r="D427" t="s">
        <v>42</v>
      </c>
      <c r="E427" t="s">
        <v>52</v>
      </c>
      <c r="F427">
        <v>3</v>
      </c>
      <c r="G427">
        <v>28175</v>
      </c>
      <c r="H427" t="s">
        <v>409</v>
      </c>
      <c r="J427">
        <v>0</v>
      </c>
      <c r="K427" t="s">
        <v>45</v>
      </c>
      <c r="L427" t="s">
        <v>22</v>
      </c>
      <c r="M427" t="s">
        <v>32</v>
      </c>
      <c r="N427">
        <v>84525</v>
      </c>
      <c r="O427">
        <v>11854.44</v>
      </c>
      <c r="P427" t="s">
        <v>65</v>
      </c>
      <c r="Q427" t="s">
        <v>56</v>
      </c>
    </row>
    <row r="428" spans="1:17" x14ac:dyDescent="0.25">
      <c r="A428">
        <v>527</v>
      </c>
      <c r="B428" t="s">
        <v>94</v>
      </c>
      <c r="C428" t="s">
        <v>17</v>
      </c>
      <c r="D428" t="s">
        <v>69</v>
      </c>
      <c r="E428" t="s">
        <v>70</v>
      </c>
      <c r="F428">
        <v>2</v>
      </c>
      <c r="G428">
        <v>65691</v>
      </c>
      <c r="H428" t="s">
        <v>410</v>
      </c>
      <c r="J428">
        <v>15</v>
      </c>
      <c r="K428" t="s">
        <v>45</v>
      </c>
      <c r="L428" t="s">
        <v>31</v>
      </c>
      <c r="M428" t="s">
        <v>47</v>
      </c>
      <c r="N428">
        <v>111674.7</v>
      </c>
      <c r="O428">
        <v>16911.64</v>
      </c>
      <c r="P428" t="s">
        <v>33</v>
      </c>
      <c r="Q428" t="s">
        <v>25</v>
      </c>
    </row>
    <row r="429" spans="1:17" x14ac:dyDescent="0.25">
      <c r="A429">
        <v>528</v>
      </c>
      <c r="B429" t="s">
        <v>51</v>
      </c>
      <c r="C429" t="s">
        <v>68</v>
      </c>
      <c r="D429" t="s">
        <v>18</v>
      </c>
      <c r="E429" t="s">
        <v>19</v>
      </c>
      <c r="F429">
        <v>10</v>
      </c>
      <c r="G429">
        <v>52849</v>
      </c>
      <c r="H429" t="s">
        <v>411</v>
      </c>
      <c r="J429">
        <v>10</v>
      </c>
      <c r="K429" t="s">
        <v>54</v>
      </c>
      <c r="L429" t="s">
        <v>22</v>
      </c>
      <c r="M429" t="s">
        <v>81</v>
      </c>
      <c r="N429">
        <v>475641</v>
      </c>
      <c r="O429">
        <v>75620.52</v>
      </c>
      <c r="P429" t="s">
        <v>65</v>
      </c>
      <c r="Q429" t="s">
        <v>75</v>
      </c>
    </row>
    <row r="430" spans="1:17" x14ac:dyDescent="0.25">
      <c r="A430">
        <v>529</v>
      </c>
      <c r="B430" t="s">
        <v>115</v>
      </c>
      <c r="C430" t="s">
        <v>27</v>
      </c>
      <c r="D430" t="s">
        <v>76</v>
      </c>
      <c r="E430" t="s">
        <v>92</v>
      </c>
      <c r="F430">
        <v>5</v>
      </c>
      <c r="G430">
        <v>6697</v>
      </c>
      <c r="H430" t="s">
        <v>412</v>
      </c>
      <c r="J430">
        <v>0</v>
      </c>
      <c r="K430" t="s">
        <v>45</v>
      </c>
      <c r="L430" t="s">
        <v>31</v>
      </c>
      <c r="M430" t="s">
        <v>100</v>
      </c>
      <c r="N430">
        <v>33485</v>
      </c>
      <c r="O430">
        <v>3584.55</v>
      </c>
      <c r="P430" t="s">
        <v>33</v>
      </c>
      <c r="Q430" t="s">
        <v>75</v>
      </c>
    </row>
    <row r="431" spans="1:17" x14ac:dyDescent="0.25">
      <c r="A431">
        <v>530</v>
      </c>
      <c r="B431" t="s">
        <v>61</v>
      </c>
      <c r="C431" t="s">
        <v>27</v>
      </c>
      <c r="D431" t="s">
        <v>42</v>
      </c>
      <c r="E431" t="s">
        <v>52</v>
      </c>
      <c r="F431">
        <v>5</v>
      </c>
      <c r="G431">
        <v>8855</v>
      </c>
      <c r="H431" t="s">
        <v>88</v>
      </c>
      <c r="J431">
        <v>5</v>
      </c>
      <c r="K431" t="s">
        <v>38</v>
      </c>
      <c r="L431" t="s">
        <v>31</v>
      </c>
      <c r="M431" t="s">
        <v>81</v>
      </c>
      <c r="N431">
        <v>42061.25</v>
      </c>
      <c r="O431">
        <v>4829.41</v>
      </c>
      <c r="P431" t="s">
        <v>33</v>
      </c>
      <c r="Q431" t="s">
        <v>56</v>
      </c>
    </row>
    <row r="432" spans="1:17" x14ac:dyDescent="0.25">
      <c r="A432">
        <v>531</v>
      </c>
      <c r="B432" t="s">
        <v>16</v>
      </c>
      <c r="C432" t="s">
        <v>68</v>
      </c>
      <c r="D432" t="s">
        <v>42</v>
      </c>
      <c r="E432" t="s">
        <v>52</v>
      </c>
      <c r="F432">
        <v>6</v>
      </c>
      <c r="G432">
        <v>68356</v>
      </c>
      <c r="H432" t="s">
        <v>218</v>
      </c>
      <c r="J432">
        <v>0</v>
      </c>
      <c r="K432" t="s">
        <v>21</v>
      </c>
      <c r="L432" t="s">
        <v>22</v>
      </c>
      <c r="M432" t="s">
        <v>23</v>
      </c>
      <c r="N432">
        <v>410136</v>
      </c>
      <c r="O432">
        <v>52925.45</v>
      </c>
      <c r="P432" t="s">
        <v>24</v>
      </c>
      <c r="Q432" t="s">
        <v>56</v>
      </c>
    </row>
    <row r="433" spans="1:17" x14ac:dyDescent="0.25">
      <c r="A433">
        <v>532</v>
      </c>
      <c r="B433" t="s">
        <v>34</v>
      </c>
      <c r="C433" t="s">
        <v>68</v>
      </c>
      <c r="D433" t="s">
        <v>69</v>
      </c>
      <c r="E433" t="s">
        <v>121</v>
      </c>
      <c r="F433">
        <v>2</v>
      </c>
      <c r="G433">
        <v>73514</v>
      </c>
      <c r="H433" t="s">
        <v>413</v>
      </c>
      <c r="J433">
        <v>15</v>
      </c>
      <c r="K433" t="s">
        <v>58</v>
      </c>
      <c r="L433" t="s">
        <v>22</v>
      </c>
      <c r="M433" t="s">
        <v>47</v>
      </c>
      <c r="N433">
        <v>124973.8</v>
      </c>
      <c r="O433">
        <v>16491.72</v>
      </c>
      <c r="P433" t="s">
        <v>40</v>
      </c>
      <c r="Q433" t="s">
        <v>25</v>
      </c>
    </row>
    <row r="434" spans="1:17" x14ac:dyDescent="0.25">
      <c r="A434">
        <v>533</v>
      </c>
      <c r="B434" t="s">
        <v>96</v>
      </c>
      <c r="C434" t="s">
        <v>27</v>
      </c>
      <c r="D434" t="s">
        <v>18</v>
      </c>
      <c r="E434" t="s">
        <v>36</v>
      </c>
      <c r="F434">
        <v>5</v>
      </c>
      <c r="G434">
        <v>46705</v>
      </c>
      <c r="H434" t="s">
        <v>361</v>
      </c>
      <c r="J434">
        <v>15</v>
      </c>
      <c r="K434" t="s">
        <v>45</v>
      </c>
      <c r="L434" t="s">
        <v>55</v>
      </c>
      <c r="M434" t="s">
        <v>23</v>
      </c>
      <c r="N434">
        <v>198496.25</v>
      </c>
      <c r="O434">
        <v>18366.509999999998</v>
      </c>
      <c r="P434" t="s">
        <v>40</v>
      </c>
      <c r="Q434" t="s">
        <v>75</v>
      </c>
    </row>
    <row r="435" spans="1:17" x14ac:dyDescent="0.25">
      <c r="A435">
        <v>534</v>
      </c>
      <c r="B435" t="s">
        <v>91</v>
      </c>
      <c r="C435" t="s">
        <v>68</v>
      </c>
      <c r="D435" t="s">
        <v>18</v>
      </c>
      <c r="E435" t="s">
        <v>72</v>
      </c>
      <c r="F435">
        <v>3</v>
      </c>
      <c r="G435">
        <v>30519</v>
      </c>
      <c r="H435" t="s">
        <v>224</v>
      </c>
      <c r="J435">
        <v>20</v>
      </c>
      <c r="K435" t="s">
        <v>21</v>
      </c>
      <c r="L435" t="s">
        <v>55</v>
      </c>
      <c r="M435" t="s">
        <v>81</v>
      </c>
      <c r="N435">
        <v>73245.600000000006</v>
      </c>
      <c r="O435">
        <v>14845.17</v>
      </c>
      <c r="P435" t="s">
        <v>33</v>
      </c>
      <c r="Q435" t="s">
        <v>75</v>
      </c>
    </row>
    <row r="436" spans="1:17" x14ac:dyDescent="0.25">
      <c r="A436">
        <v>535</v>
      </c>
      <c r="B436" t="s">
        <v>94</v>
      </c>
      <c r="C436" t="s">
        <v>17</v>
      </c>
      <c r="D436" t="s">
        <v>69</v>
      </c>
      <c r="E436" t="s">
        <v>98</v>
      </c>
      <c r="F436">
        <v>7</v>
      </c>
      <c r="G436">
        <v>66372</v>
      </c>
      <c r="H436" t="s">
        <v>210</v>
      </c>
      <c r="J436">
        <v>15</v>
      </c>
      <c r="K436" t="s">
        <v>74</v>
      </c>
      <c r="L436" t="s">
        <v>22</v>
      </c>
      <c r="M436" t="s">
        <v>100</v>
      </c>
      <c r="N436">
        <v>394913.4</v>
      </c>
      <c r="O436">
        <v>79621.16</v>
      </c>
      <c r="P436" t="s">
        <v>40</v>
      </c>
      <c r="Q436" t="s">
        <v>75</v>
      </c>
    </row>
    <row r="437" spans="1:17" x14ac:dyDescent="0.25">
      <c r="A437">
        <v>536</v>
      </c>
      <c r="B437" t="s">
        <v>107</v>
      </c>
      <c r="C437" t="s">
        <v>17</v>
      </c>
      <c r="D437" t="s">
        <v>28</v>
      </c>
      <c r="E437" t="s">
        <v>48</v>
      </c>
      <c r="F437">
        <v>9</v>
      </c>
      <c r="G437">
        <v>16867</v>
      </c>
      <c r="H437" t="s">
        <v>414</v>
      </c>
      <c r="J437">
        <v>20</v>
      </c>
      <c r="K437" t="s">
        <v>38</v>
      </c>
      <c r="L437" t="s">
        <v>22</v>
      </c>
      <c r="M437" t="s">
        <v>50</v>
      </c>
      <c r="N437">
        <v>121442.4</v>
      </c>
      <c r="O437">
        <v>33040.199999999997</v>
      </c>
      <c r="P437" t="s">
        <v>24</v>
      </c>
      <c r="Q437" t="s">
        <v>25</v>
      </c>
    </row>
    <row r="438" spans="1:17" x14ac:dyDescent="0.25">
      <c r="A438">
        <v>537</v>
      </c>
      <c r="B438" t="s">
        <v>41</v>
      </c>
      <c r="C438" t="s">
        <v>35</v>
      </c>
      <c r="D438" t="s">
        <v>42</v>
      </c>
      <c r="E438" t="s">
        <v>59</v>
      </c>
      <c r="F438">
        <v>3</v>
      </c>
      <c r="G438">
        <v>33397</v>
      </c>
      <c r="H438" t="s">
        <v>281</v>
      </c>
      <c r="J438">
        <v>0</v>
      </c>
      <c r="K438" t="s">
        <v>58</v>
      </c>
      <c r="L438" t="s">
        <v>31</v>
      </c>
      <c r="M438" t="s">
        <v>39</v>
      </c>
      <c r="N438">
        <v>100191</v>
      </c>
      <c r="O438">
        <v>12129.34</v>
      </c>
      <c r="P438" t="s">
        <v>40</v>
      </c>
      <c r="Q438" t="s">
        <v>25</v>
      </c>
    </row>
    <row r="439" spans="1:17" x14ac:dyDescent="0.25">
      <c r="A439">
        <v>538</v>
      </c>
      <c r="B439" t="s">
        <v>67</v>
      </c>
      <c r="C439" t="s">
        <v>35</v>
      </c>
      <c r="D439" t="s">
        <v>28</v>
      </c>
      <c r="E439" t="s">
        <v>48</v>
      </c>
      <c r="F439">
        <v>9</v>
      </c>
      <c r="G439">
        <v>5303</v>
      </c>
      <c r="H439" t="s">
        <v>228</v>
      </c>
      <c r="J439">
        <v>15</v>
      </c>
      <c r="K439" t="s">
        <v>21</v>
      </c>
      <c r="L439" t="s">
        <v>46</v>
      </c>
      <c r="M439" t="s">
        <v>23</v>
      </c>
      <c r="N439">
        <v>40567.949999999997</v>
      </c>
      <c r="O439">
        <v>9595.18</v>
      </c>
      <c r="P439" t="s">
        <v>40</v>
      </c>
      <c r="Q439" t="s">
        <v>56</v>
      </c>
    </row>
    <row r="440" spans="1:17" x14ac:dyDescent="0.25">
      <c r="A440">
        <v>539</v>
      </c>
      <c r="B440" t="s">
        <v>34</v>
      </c>
      <c r="C440" t="s">
        <v>68</v>
      </c>
      <c r="D440" t="s">
        <v>28</v>
      </c>
      <c r="E440" t="s">
        <v>29</v>
      </c>
      <c r="F440">
        <v>2</v>
      </c>
      <c r="G440">
        <v>33823</v>
      </c>
      <c r="H440" t="s">
        <v>225</v>
      </c>
      <c r="J440">
        <v>5</v>
      </c>
      <c r="K440" t="s">
        <v>58</v>
      </c>
      <c r="L440" t="s">
        <v>46</v>
      </c>
      <c r="M440" t="s">
        <v>47</v>
      </c>
      <c r="N440">
        <v>64263.7</v>
      </c>
      <c r="O440">
        <v>12510.72</v>
      </c>
      <c r="P440" t="s">
        <v>65</v>
      </c>
      <c r="Q440" t="s">
        <v>25</v>
      </c>
    </row>
    <row r="441" spans="1:17" x14ac:dyDescent="0.25">
      <c r="A441">
        <v>540</v>
      </c>
      <c r="B441" t="s">
        <v>79</v>
      </c>
      <c r="C441" t="s">
        <v>35</v>
      </c>
      <c r="D441" t="s">
        <v>42</v>
      </c>
      <c r="E441" t="s">
        <v>59</v>
      </c>
      <c r="F441">
        <v>9</v>
      </c>
      <c r="G441">
        <v>41488</v>
      </c>
      <c r="H441" t="s">
        <v>415</v>
      </c>
      <c r="J441">
        <v>10</v>
      </c>
      <c r="K441" t="s">
        <v>54</v>
      </c>
      <c r="L441" t="s">
        <v>55</v>
      </c>
      <c r="M441" t="s">
        <v>50</v>
      </c>
      <c r="N441">
        <v>336052.8</v>
      </c>
      <c r="O441">
        <v>51155.57</v>
      </c>
      <c r="P441" t="s">
        <v>33</v>
      </c>
      <c r="Q441" t="s">
        <v>56</v>
      </c>
    </row>
    <row r="442" spans="1:17" x14ac:dyDescent="0.25">
      <c r="A442">
        <v>541</v>
      </c>
      <c r="B442" t="s">
        <v>51</v>
      </c>
      <c r="C442" t="s">
        <v>17</v>
      </c>
      <c r="D442" t="s">
        <v>18</v>
      </c>
      <c r="E442" t="s">
        <v>19</v>
      </c>
      <c r="F442">
        <v>1</v>
      </c>
      <c r="G442">
        <v>28595</v>
      </c>
      <c r="H442" t="s">
        <v>360</v>
      </c>
      <c r="J442">
        <v>0</v>
      </c>
      <c r="K442" t="s">
        <v>74</v>
      </c>
      <c r="L442" t="s">
        <v>22</v>
      </c>
      <c r="M442" t="s">
        <v>50</v>
      </c>
      <c r="N442">
        <v>28595</v>
      </c>
      <c r="O442">
        <v>7687.32</v>
      </c>
      <c r="P442" t="s">
        <v>65</v>
      </c>
      <c r="Q442" t="s">
        <v>25</v>
      </c>
    </row>
    <row r="443" spans="1:17" x14ac:dyDescent="0.25">
      <c r="A443">
        <v>542</v>
      </c>
      <c r="B443" t="s">
        <v>51</v>
      </c>
      <c r="C443" t="s">
        <v>27</v>
      </c>
      <c r="D443" t="s">
        <v>76</v>
      </c>
      <c r="E443" t="s">
        <v>101</v>
      </c>
      <c r="F443">
        <v>1</v>
      </c>
      <c r="G443">
        <v>3351</v>
      </c>
      <c r="H443" t="s">
        <v>157</v>
      </c>
      <c r="J443">
        <v>5</v>
      </c>
      <c r="K443" t="s">
        <v>58</v>
      </c>
      <c r="L443" t="s">
        <v>31</v>
      </c>
      <c r="M443" t="s">
        <v>39</v>
      </c>
      <c r="N443">
        <v>3183.45</v>
      </c>
      <c r="O443">
        <v>823.22</v>
      </c>
      <c r="P443" t="s">
        <v>24</v>
      </c>
      <c r="Q443" t="s">
        <v>75</v>
      </c>
    </row>
    <row r="444" spans="1:17" x14ac:dyDescent="0.25">
      <c r="A444">
        <v>543</v>
      </c>
      <c r="B444" t="s">
        <v>96</v>
      </c>
      <c r="C444" t="s">
        <v>68</v>
      </c>
      <c r="D444" t="s">
        <v>76</v>
      </c>
      <c r="E444" t="s">
        <v>92</v>
      </c>
      <c r="F444">
        <v>3</v>
      </c>
      <c r="G444">
        <v>14392</v>
      </c>
      <c r="H444" t="s">
        <v>416</v>
      </c>
      <c r="J444">
        <v>20</v>
      </c>
      <c r="K444" t="s">
        <v>21</v>
      </c>
      <c r="L444" t="s">
        <v>55</v>
      </c>
      <c r="M444" t="s">
        <v>81</v>
      </c>
      <c r="N444">
        <v>34540.800000000003</v>
      </c>
      <c r="O444">
        <v>4862.76</v>
      </c>
      <c r="P444" t="s">
        <v>40</v>
      </c>
      <c r="Q444" t="s">
        <v>56</v>
      </c>
    </row>
    <row r="445" spans="1:17" x14ac:dyDescent="0.25">
      <c r="A445">
        <v>544</v>
      </c>
      <c r="B445" t="s">
        <v>109</v>
      </c>
      <c r="C445" t="s">
        <v>17</v>
      </c>
      <c r="D445" t="s">
        <v>18</v>
      </c>
      <c r="E445" t="s">
        <v>19</v>
      </c>
      <c r="F445">
        <v>8</v>
      </c>
      <c r="G445">
        <v>19983</v>
      </c>
      <c r="H445" t="s">
        <v>236</v>
      </c>
      <c r="J445">
        <v>15</v>
      </c>
      <c r="K445" t="s">
        <v>45</v>
      </c>
      <c r="L445" t="s">
        <v>31</v>
      </c>
      <c r="M445" t="s">
        <v>81</v>
      </c>
      <c r="N445">
        <v>135884.4</v>
      </c>
      <c r="O445">
        <v>15545.36</v>
      </c>
      <c r="P445" t="s">
        <v>40</v>
      </c>
      <c r="Q445" t="s">
        <v>25</v>
      </c>
    </row>
    <row r="446" spans="1:17" x14ac:dyDescent="0.25">
      <c r="A446">
        <v>545</v>
      </c>
      <c r="B446" t="s">
        <v>26</v>
      </c>
      <c r="C446" t="s">
        <v>27</v>
      </c>
      <c r="D446" t="s">
        <v>76</v>
      </c>
      <c r="E446" t="s">
        <v>101</v>
      </c>
      <c r="F446">
        <v>4</v>
      </c>
      <c r="G446">
        <v>16863</v>
      </c>
      <c r="H446" t="s">
        <v>113</v>
      </c>
      <c r="J446">
        <v>20</v>
      </c>
      <c r="K446" t="s">
        <v>38</v>
      </c>
      <c r="L446" t="s">
        <v>22</v>
      </c>
      <c r="M446" t="s">
        <v>64</v>
      </c>
      <c r="N446">
        <v>53961.599999999999</v>
      </c>
      <c r="O446">
        <v>14031.88</v>
      </c>
      <c r="P446" t="s">
        <v>40</v>
      </c>
      <c r="Q446" t="s">
        <v>25</v>
      </c>
    </row>
    <row r="447" spans="1:17" x14ac:dyDescent="0.25">
      <c r="A447">
        <v>546</v>
      </c>
      <c r="B447" t="s">
        <v>91</v>
      </c>
      <c r="C447" t="s">
        <v>27</v>
      </c>
      <c r="D447" t="s">
        <v>42</v>
      </c>
      <c r="E447" t="s">
        <v>59</v>
      </c>
      <c r="F447">
        <v>2</v>
      </c>
      <c r="G447">
        <v>49476</v>
      </c>
      <c r="H447" t="s">
        <v>417</v>
      </c>
      <c r="J447">
        <v>20</v>
      </c>
      <c r="K447" t="s">
        <v>38</v>
      </c>
      <c r="L447" t="s">
        <v>46</v>
      </c>
      <c r="M447" t="s">
        <v>81</v>
      </c>
      <c r="N447">
        <v>79161.600000000006</v>
      </c>
      <c r="O447">
        <v>10061.19</v>
      </c>
      <c r="P447" t="s">
        <v>24</v>
      </c>
      <c r="Q447" t="s">
        <v>56</v>
      </c>
    </row>
    <row r="448" spans="1:17" x14ac:dyDescent="0.25">
      <c r="A448">
        <v>547</v>
      </c>
      <c r="B448" t="s">
        <v>84</v>
      </c>
      <c r="C448" t="s">
        <v>17</v>
      </c>
      <c r="D448" t="s">
        <v>18</v>
      </c>
      <c r="E448" t="s">
        <v>62</v>
      </c>
      <c r="F448">
        <v>5</v>
      </c>
      <c r="G448">
        <v>42145</v>
      </c>
      <c r="H448" t="s">
        <v>378</v>
      </c>
      <c r="J448">
        <v>20</v>
      </c>
      <c r="K448" t="s">
        <v>45</v>
      </c>
      <c r="L448" t="s">
        <v>55</v>
      </c>
      <c r="M448" t="s">
        <v>23</v>
      </c>
      <c r="N448">
        <v>168580</v>
      </c>
      <c r="O448">
        <v>47598.2</v>
      </c>
      <c r="P448" t="s">
        <v>33</v>
      </c>
      <c r="Q448" t="s">
        <v>75</v>
      </c>
    </row>
    <row r="449" spans="1:17" x14ac:dyDescent="0.25">
      <c r="A449">
        <v>548</v>
      </c>
      <c r="B449" t="s">
        <v>16</v>
      </c>
      <c r="C449" t="s">
        <v>35</v>
      </c>
      <c r="D449" t="s">
        <v>76</v>
      </c>
      <c r="E449" t="s">
        <v>101</v>
      </c>
      <c r="F449">
        <v>3</v>
      </c>
      <c r="G449">
        <v>42324</v>
      </c>
      <c r="H449" t="s">
        <v>348</v>
      </c>
      <c r="J449">
        <v>20</v>
      </c>
      <c r="K449" t="s">
        <v>21</v>
      </c>
      <c r="L449" t="s">
        <v>55</v>
      </c>
      <c r="M449" t="s">
        <v>32</v>
      </c>
      <c r="N449">
        <v>101577.60000000001</v>
      </c>
      <c r="O449">
        <v>9658.26</v>
      </c>
      <c r="P449" t="s">
        <v>40</v>
      </c>
      <c r="Q449" t="s">
        <v>56</v>
      </c>
    </row>
    <row r="450" spans="1:17" x14ac:dyDescent="0.25">
      <c r="A450">
        <v>549</v>
      </c>
      <c r="B450" t="s">
        <v>34</v>
      </c>
      <c r="C450" t="s">
        <v>35</v>
      </c>
      <c r="D450" t="s">
        <v>18</v>
      </c>
      <c r="E450" t="s">
        <v>72</v>
      </c>
      <c r="F450">
        <v>2</v>
      </c>
      <c r="G450">
        <v>69277</v>
      </c>
      <c r="H450" t="s">
        <v>418</v>
      </c>
      <c r="J450">
        <v>0</v>
      </c>
      <c r="K450" t="s">
        <v>21</v>
      </c>
      <c r="L450" t="s">
        <v>22</v>
      </c>
      <c r="M450" t="s">
        <v>50</v>
      </c>
      <c r="N450">
        <v>138554</v>
      </c>
      <c r="O450">
        <v>19972.41</v>
      </c>
      <c r="P450" t="s">
        <v>40</v>
      </c>
      <c r="Q450" t="s">
        <v>25</v>
      </c>
    </row>
    <row r="451" spans="1:17" x14ac:dyDescent="0.25">
      <c r="A451">
        <v>550</v>
      </c>
      <c r="B451" t="s">
        <v>41</v>
      </c>
      <c r="C451" t="s">
        <v>35</v>
      </c>
      <c r="D451" t="s">
        <v>69</v>
      </c>
      <c r="E451" t="s">
        <v>98</v>
      </c>
      <c r="F451">
        <v>4</v>
      </c>
      <c r="G451">
        <v>26464</v>
      </c>
      <c r="H451" t="s">
        <v>191</v>
      </c>
      <c r="J451">
        <v>10</v>
      </c>
      <c r="K451" t="s">
        <v>58</v>
      </c>
      <c r="L451" t="s">
        <v>46</v>
      </c>
      <c r="M451" t="s">
        <v>100</v>
      </c>
      <c r="N451">
        <v>95270.399999999994</v>
      </c>
      <c r="O451">
        <v>15880.17</v>
      </c>
      <c r="P451" t="s">
        <v>65</v>
      </c>
      <c r="Q451" t="s">
        <v>56</v>
      </c>
    </row>
    <row r="452" spans="1:17" x14ac:dyDescent="0.25">
      <c r="A452">
        <v>551</v>
      </c>
      <c r="B452" t="s">
        <v>94</v>
      </c>
      <c r="C452" t="s">
        <v>68</v>
      </c>
      <c r="D452" t="s">
        <v>69</v>
      </c>
      <c r="E452" t="s">
        <v>121</v>
      </c>
      <c r="F452">
        <v>9</v>
      </c>
      <c r="G452">
        <v>55347</v>
      </c>
      <c r="H452" t="s">
        <v>219</v>
      </c>
      <c r="J452">
        <v>5</v>
      </c>
      <c r="K452" t="s">
        <v>58</v>
      </c>
      <c r="L452" t="s">
        <v>46</v>
      </c>
      <c r="M452" t="s">
        <v>32</v>
      </c>
      <c r="N452">
        <v>473216.85</v>
      </c>
      <c r="O452">
        <v>68644</v>
      </c>
      <c r="P452" t="s">
        <v>65</v>
      </c>
      <c r="Q452" t="s">
        <v>56</v>
      </c>
    </row>
    <row r="453" spans="1:17" x14ac:dyDescent="0.25">
      <c r="A453">
        <v>552</v>
      </c>
      <c r="B453" t="s">
        <v>109</v>
      </c>
      <c r="C453" t="s">
        <v>17</v>
      </c>
      <c r="D453" t="s">
        <v>69</v>
      </c>
      <c r="E453" t="s">
        <v>121</v>
      </c>
      <c r="F453">
        <v>4</v>
      </c>
      <c r="G453">
        <v>6581</v>
      </c>
      <c r="H453" t="s">
        <v>419</v>
      </c>
      <c r="J453">
        <v>20</v>
      </c>
      <c r="K453" t="s">
        <v>54</v>
      </c>
      <c r="L453" t="s">
        <v>31</v>
      </c>
      <c r="M453" t="s">
        <v>50</v>
      </c>
      <c r="N453">
        <v>21059.200000000001</v>
      </c>
      <c r="O453">
        <v>2357.12</v>
      </c>
      <c r="P453" t="s">
        <v>33</v>
      </c>
      <c r="Q453" t="s">
        <v>25</v>
      </c>
    </row>
    <row r="454" spans="1:17" x14ac:dyDescent="0.25">
      <c r="A454">
        <v>553</v>
      </c>
      <c r="B454" t="s">
        <v>26</v>
      </c>
      <c r="C454" t="s">
        <v>68</v>
      </c>
      <c r="D454" t="s">
        <v>42</v>
      </c>
      <c r="E454" t="s">
        <v>59</v>
      </c>
      <c r="F454">
        <v>7</v>
      </c>
      <c r="G454">
        <v>15174</v>
      </c>
      <c r="H454" t="s">
        <v>302</v>
      </c>
      <c r="J454">
        <v>20</v>
      </c>
      <c r="K454" t="s">
        <v>58</v>
      </c>
      <c r="L454" t="s">
        <v>55</v>
      </c>
      <c r="M454" t="s">
        <v>50</v>
      </c>
      <c r="N454">
        <v>84974.399999999994</v>
      </c>
      <c r="O454">
        <v>12414</v>
      </c>
      <c r="P454" t="s">
        <v>33</v>
      </c>
      <c r="Q454" t="s">
        <v>56</v>
      </c>
    </row>
    <row r="455" spans="1:17" x14ac:dyDescent="0.25">
      <c r="A455">
        <v>554</v>
      </c>
      <c r="B455" t="s">
        <v>34</v>
      </c>
      <c r="C455" t="s">
        <v>68</v>
      </c>
      <c r="D455" t="s">
        <v>69</v>
      </c>
      <c r="E455" t="s">
        <v>70</v>
      </c>
      <c r="F455">
        <v>9</v>
      </c>
      <c r="G455">
        <v>32642</v>
      </c>
      <c r="H455" t="s">
        <v>179</v>
      </c>
      <c r="J455">
        <v>10</v>
      </c>
      <c r="K455" t="s">
        <v>45</v>
      </c>
      <c r="L455" t="s">
        <v>31</v>
      </c>
      <c r="M455" t="s">
        <v>100</v>
      </c>
      <c r="N455">
        <v>264400.2</v>
      </c>
      <c r="O455">
        <v>42743.32</v>
      </c>
      <c r="P455" t="s">
        <v>24</v>
      </c>
      <c r="Q455" t="s">
        <v>56</v>
      </c>
    </row>
    <row r="456" spans="1:17" x14ac:dyDescent="0.25">
      <c r="A456">
        <v>555</v>
      </c>
      <c r="B456" t="s">
        <v>94</v>
      </c>
      <c r="C456" t="s">
        <v>17</v>
      </c>
      <c r="D456" t="s">
        <v>76</v>
      </c>
      <c r="E456" t="s">
        <v>77</v>
      </c>
      <c r="F456">
        <v>6</v>
      </c>
      <c r="G456">
        <v>64175</v>
      </c>
      <c r="H456" t="s">
        <v>420</v>
      </c>
      <c r="J456">
        <v>5</v>
      </c>
      <c r="K456" t="s">
        <v>21</v>
      </c>
      <c r="L456" t="s">
        <v>22</v>
      </c>
      <c r="M456" t="s">
        <v>23</v>
      </c>
      <c r="N456">
        <v>365797.5</v>
      </c>
      <c r="O456">
        <v>105503.6</v>
      </c>
      <c r="P456" t="s">
        <v>24</v>
      </c>
      <c r="Q456" t="s">
        <v>25</v>
      </c>
    </row>
    <row r="457" spans="1:17" x14ac:dyDescent="0.25">
      <c r="A457">
        <v>556</v>
      </c>
      <c r="B457" t="s">
        <v>107</v>
      </c>
      <c r="C457" t="s">
        <v>35</v>
      </c>
      <c r="D457" t="s">
        <v>18</v>
      </c>
      <c r="E457" t="s">
        <v>19</v>
      </c>
      <c r="F457">
        <v>5</v>
      </c>
      <c r="G457">
        <v>29028</v>
      </c>
      <c r="H457" t="s">
        <v>421</v>
      </c>
      <c r="J457">
        <v>20</v>
      </c>
      <c r="K457" t="s">
        <v>38</v>
      </c>
      <c r="L457" t="s">
        <v>55</v>
      </c>
      <c r="M457" t="s">
        <v>64</v>
      </c>
      <c r="N457">
        <v>116112</v>
      </c>
      <c r="O457">
        <v>26522.5</v>
      </c>
      <c r="P457" t="s">
        <v>24</v>
      </c>
      <c r="Q457" t="s">
        <v>75</v>
      </c>
    </row>
    <row r="458" spans="1:17" x14ac:dyDescent="0.25">
      <c r="A458">
        <v>557</v>
      </c>
      <c r="B458" t="s">
        <v>51</v>
      </c>
      <c r="C458" t="s">
        <v>35</v>
      </c>
      <c r="D458" t="s">
        <v>69</v>
      </c>
      <c r="E458" t="s">
        <v>70</v>
      </c>
      <c r="F458">
        <v>9</v>
      </c>
      <c r="G458">
        <v>24757</v>
      </c>
      <c r="H458" t="s">
        <v>341</v>
      </c>
      <c r="J458">
        <v>5</v>
      </c>
      <c r="K458" t="s">
        <v>54</v>
      </c>
      <c r="L458" t="s">
        <v>22</v>
      </c>
      <c r="M458" t="s">
        <v>81</v>
      </c>
      <c r="N458">
        <v>211672.35</v>
      </c>
      <c r="O458">
        <v>34372.93</v>
      </c>
      <c r="P458" t="s">
        <v>40</v>
      </c>
      <c r="Q458" t="s">
        <v>25</v>
      </c>
    </row>
    <row r="459" spans="1:17" x14ac:dyDescent="0.25">
      <c r="A459">
        <v>558</v>
      </c>
      <c r="B459" t="s">
        <v>67</v>
      </c>
      <c r="C459" t="s">
        <v>68</v>
      </c>
      <c r="D459" t="s">
        <v>18</v>
      </c>
      <c r="E459" t="s">
        <v>72</v>
      </c>
      <c r="F459">
        <v>7</v>
      </c>
      <c r="G459">
        <v>8001</v>
      </c>
      <c r="H459" t="s">
        <v>422</v>
      </c>
      <c r="J459">
        <v>5</v>
      </c>
      <c r="K459" t="s">
        <v>58</v>
      </c>
      <c r="L459" t="s">
        <v>22</v>
      </c>
      <c r="M459" t="s">
        <v>39</v>
      </c>
      <c r="N459">
        <v>53206.65</v>
      </c>
      <c r="O459">
        <v>11882.72</v>
      </c>
      <c r="P459" t="s">
        <v>65</v>
      </c>
      <c r="Q459" t="s">
        <v>56</v>
      </c>
    </row>
    <row r="460" spans="1:17" x14ac:dyDescent="0.25">
      <c r="A460">
        <v>559</v>
      </c>
      <c r="B460" t="s">
        <v>61</v>
      </c>
      <c r="C460" t="s">
        <v>17</v>
      </c>
      <c r="D460" t="s">
        <v>76</v>
      </c>
      <c r="E460" t="s">
        <v>92</v>
      </c>
      <c r="F460">
        <v>6</v>
      </c>
      <c r="G460">
        <v>5979</v>
      </c>
      <c r="H460" t="s">
        <v>202</v>
      </c>
      <c r="J460">
        <v>5</v>
      </c>
      <c r="K460" t="s">
        <v>45</v>
      </c>
      <c r="L460" t="s">
        <v>46</v>
      </c>
      <c r="M460" t="s">
        <v>32</v>
      </c>
      <c r="N460">
        <v>34080.300000000003</v>
      </c>
      <c r="O460">
        <v>6093</v>
      </c>
      <c r="P460" t="s">
        <v>33</v>
      </c>
      <c r="Q460" t="s">
        <v>56</v>
      </c>
    </row>
    <row r="461" spans="1:17" x14ac:dyDescent="0.25">
      <c r="A461">
        <v>560</v>
      </c>
      <c r="B461" t="s">
        <v>94</v>
      </c>
      <c r="C461" t="s">
        <v>27</v>
      </c>
      <c r="D461" t="s">
        <v>28</v>
      </c>
      <c r="E461" t="s">
        <v>103</v>
      </c>
      <c r="F461">
        <v>8</v>
      </c>
      <c r="G461">
        <v>57886</v>
      </c>
      <c r="H461" t="s">
        <v>391</v>
      </c>
      <c r="J461">
        <v>5</v>
      </c>
      <c r="K461" t="s">
        <v>45</v>
      </c>
      <c r="L461" t="s">
        <v>46</v>
      </c>
      <c r="M461" t="s">
        <v>50</v>
      </c>
      <c r="N461">
        <v>439933.6</v>
      </c>
      <c r="O461">
        <v>109603.71</v>
      </c>
      <c r="P461" t="s">
        <v>65</v>
      </c>
      <c r="Q461" t="s">
        <v>75</v>
      </c>
    </row>
    <row r="462" spans="1:17" x14ac:dyDescent="0.25">
      <c r="A462">
        <v>561</v>
      </c>
      <c r="B462" t="s">
        <v>41</v>
      </c>
      <c r="C462" t="s">
        <v>35</v>
      </c>
      <c r="D462" t="s">
        <v>76</v>
      </c>
      <c r="E462" t="s">
        <v>77</v>
      </c>
      <c r="F462">
        <v>3</v>
      </c>
      <c r="G462">
        <v>18787</v>
      </c>
      <c r="H462" t="s">
        <v>296</v>
      </c>
      <c r="J462">
        <v>0</v>
      </c>
      <c r="K462" t="s">
        <v>38</v>
      </c>
      <c r="L462" t="s">
        <v>46</v>
      </c>
      <c r="M462" t="s">
        <v>47</v>
      </c>
      <c r="N462">
        <v>56361</v>
      </c>
      <c r="O462">
        <v>14774.85</v>
      </c>
      <c r="P462" t="s">
        <v>65</v>
      </c>
      <c r="Q462" t="s">
        <v>75</v>
      </c>
    </row>
    <row r="463" spans="1:17" x14ac:dyDescent="0.25">
      <c r="A463">
        <v>562</v>
      </c>
      <c r="B463" t="s">
        <v>94</v>
      </c>
      <c r="C463" t="s">
        <v>68</v>
      </c>
      <c r="D463" t="s">
        <v>18</v>
      </c>
      <c r="E463" t="s">
        <v>36</v>
      </c>
      <c r="F463">
        <v>1</v>
      </c>
      <c r="G463">
        <v>35139</v>
      </c>
      <c r="H463" t="s">
        <v>379</v>
      </c>
      <c r="J463">
        <v>5</v>
      </c>
      <c r="K463" t="s">
        <v>45</v>
      </c>
      <c r="L463" t="s">
        <v>55</v>
      </c>
      <c r="M463" t="s">
        <v>50</v>
      </c>
      <c r="N463">
        <v>33382.050000000003</v>
      </c>
      <c r="O463">
        <v>6871.73</v>
      </c>
      <c r="P463" t="s">
        <v>33</v>
      </c>
      <c r="Q463" t="s">
        <v>56</v>
      </c>
    </row>
    <row r="464" spans="1:17" x14ac:dyDescent="0.25">
      <c r="A464">
        <v>563</v>
      </c>
      <c r="B464" t="s">
        <v>94</v>
      </c>
      <c r="C464" t="s">
        <v>35</v>
      </c>
      <c r="D464" t="s">
        <v>28</v>
      </c>
      <c r="E464" t="s">
        <v>103</v>
      </c>
      <c r="F464">
        <v>2</v>
      </c>
      <c r="G464">
        <v>48629</v>
      </c>
      <c r="H464" t="s">
        <v>423</v>
      </c>
      <c r="J464">
        <v>0</v>
      </c>
      <c r="K464" t="s">
        <v>74</v>
      </c>
      <c r="L464" t="s">
        <v>55</v>
      </c>
      <c r="M464" t="s">
        <v>81</v>
      </c>
      <c r="N464">
        <v>97258</v>
      </c>
      <c r="O464">
        <v>25215.59</v>
      </c>
      <c r="P464" t="s">
        <v>40</v>
      </c>
      <c r="Q464" t="s">
        <v>75</v>
      </c>
    </row>
    <row r="465" spans="1:17" x14ac:dyDescent="0.25">
      <c r="A465">
        <v>564</v>
      </c>
      <c r="B465" t="s">
        <v>41</v>
      </c>
      <c r="C465" t="s">
        <v>17</v>
      </c>
      <c r="D465" t="s">
        <v>28</v>
      </c>
      <c r="E465" t="s">
        <v>103</v>
      </c>
      <c r="F465">
        <v>6</v>
      </c>
      <c r="G465">
        <v>42767</v>
      </c>
      <c r="H465" t="s">
        <v>424</v>
      </c>
      <c r="J465">
        <v>15</v>
      </c>
      <c r="K465" t="s">
        <v>74</v>
      </c>
      <c r="L465" t="s">
        <v>22</v>
      </c>
      <c r="M465" t="s">
        <v>47</v>
      </c>
      <c r="N465">
        <v>218111.7</v>
      </c>
      <c r="O465">
        <v>55124.28</v>
      </c>
      <c r="P465" t="s">
        <v>33</v>
      </c>
      <c r="Q465" t="s">
        <v>75</v>
      </c>
    </row>
    <row r="466" spans="1:17" x14ac:dyDescent="0.25">
      <c r="A466">
        <v>565</v>
      </c>
      <c r="B466" t="s">
        <v>109</v>
      </c>
      <c r="C466" t="s">
        <v>27</v>
      </c>
      <c r="D466" t="s">
        <v>18</v>
      </c>
      <c r="E466" t="s">
        <v>62</v>
      </c>
      <c r="F466">
        <v>4</v>
      </c>
      <c r="G466">
        <v>34802</v>
      </c>
      <c r="H466" t="s">
        <v>293</v>
      </c>
      <c r="J466">
        <v>15</v>
      </c>
      <c r="K466" t="s">
        <v>21</v>
      </c>
      <c r="L466" t="s">
        <v>22</v>
      </c>
      <c r="M466" t="s">
        <v>100</v>
      </c>
      <c r="N466">
        <v>118326.8</v>
      </c>
      <c r="O466">
        <v>18027.02</v>
      </c>
      <c r="P466" t="s">
        <v>65</v>
      </c>
      <c r="Q466" t="s">
        <v>56</v>
      </c>
    </row>
    <row r="467" spans="1:17" x14ac:dyDescent="0.25">
      <c r="A467">
        <v>566</v>
      </c>
      <c r="B467" t="s">
        <v>34</v>
      </c>
      <c r="C467" t="s">
        <v>35</v>
      </c>
      <c r="D467" t="s">
        <v>42</v>
      </c>
      <c r="E467" t="s">
        <v>59</v>
      </c>
      <c r="F467">
        <v>10</v>
      </c>
      <c r="G467">
        <v>4524</v>
      </c>
      <c r="H467" t="s">
        <v>425</v>
      </c>
      <c r="J467">
        <v>20</v>
      </c>
      <c r="K467" t="s">
        <v>74</v>
      </c>
      <c r="L467" t="s">
        <v>55</v>
      </c>
      <c r="M467" t="s">
        <v>23</v>
      </c>
      <c r="N467">
        <v>36192</v>
      </c>
      <c r="O467">
        <v>5470.43</v>
      </c>
      <c r="P467" t="s">
        <v>40</v>
      </c>
      <c r="Q467" t="s">
        <v>56</v>
      </c>
    </row>
    <row r="468" spans="1:17" x14ac:dyDescent="0.25">
      <c r="A468">
        <v>567</v>
      </c>
      <c r="B468" t="s">
        <v>67</v>
      </c>
      <c r="C468" t="s">
        <v>27</v>
      </c>
      <c r="D468" t="s">
        <v>69</v>
      </c>
      <c r="E468" t="s">
        <v>121</v>
      </c>
      <c r="F468">
        <v>6</v>
      </c>
      <c r="G468">
        <v>76861</v>
      </c>
      <c r="H468" t="s">
        <v>336</v>
      </c>
      <c r="J468">
        <v>10</v>
      </c>
      <c r="K468" t="s">
        <v>21</v>
      </c>
      <c r="L468" t="s">
        <v>31</v>
      </c>
      <c r="M468" t="s">
        <v>23</v>
      </c>
      <c r="N468">
        <v>415049.4</v>
      </c>
      <c r="O468">
        <v>48730.83</v>
      </c>
      <c r="P468" t="s">
        <v>24</v>
      </c>
      <c r="Q468" t="s">
        <v>25</v>
      </c>
    </row>
    <row r="469" spans="1:17" x14ac:dyDescent="0.25">
      <c r="A469">
        <v>568</v>
      </c>
      <c r="B469" t="s">
        <v>51</v>
      </c>
      <c r="C469" t="s">
        <v>68</v>
      </c>
      <c r="D469" t="s">
        <v>76</v>
      </c>
      <c r="E469" t="s">
        <v>101</v>
      </c>
      <c r="F469">
        <v>3</v>
      </c>
      <c r="G469">
        <v>70245</v>
      </c>
      <c r="H469" t="s">
        <v>426</v>
      </c>
      <c r="J469">
        <v>0</v>
      </c>
      <c r="K469" t="s">
        <v>74</v>
      </c>
      <c r="L469" t="s">
        <v>55</v>
      </c>
      <c r="M469" t="s">
        <v>23</v>
      </c>
      <c r="N469">
        <v>210735</v>
      </c>
      <c r="O469">
        <v>27732.54</v>
      </c>
      <c r="P469" t="s">
        <v>40</v>
      </c>
      <c r="Q469" t="s">
        <v>56</v>
      </c>
    </row>
    <row r="470" spans="1:17" x14ac:dyDescent="0.25">
      <c r="A470">
        <v>569</v>
      </c>
      <c r="B470" t="s">
        <v>16</v>
      </c>
      <c r="C470" t="s">
        <v>35</v>
      </c>
      <c r="D470" t="s">
        <v>18</v>
      </c>
      <c r="E470" t="s">
        <v>62</v>
      </c>
      <c r="F470">
        <v>2</v>
      </c>
      <c r="G470">
        <v>20585</v>
      </c>
      <c r="H470" t="s">
        <v>137</v>
      </c>
      <c r="J470">
        <v>0</v>
      </c>
      <c r="K470" t="s">
        <v>54</v>
      </c>
      <c r="L470" t="s">
        <v>31</v>
      </c>
      <c r="M470" t="s">
        <v>64</v>
      </c>
      <c r="N470">
        <v>41170</v>
      </c>
      <c r="O470">
        <v>10087.09</v>
      </c>
      <c r="P470" t="s">
        <v>33</v>
      </c>
      <c r="Q470" t="s">
        <v>25</v>
      </c>
    </row>
    <row r="471" spans="1:17" x14ac:dyDescent="0.25">
      <c r="A471">
        <v>570</v>
      </c>
      <c r="B471" t="s">
        <v>115</v>
      </c>
      <c r="C471" t="s">
        <v>35</v>
      </c>
      <c r="D471" t="s">
        <v>42</v>
      </c>
      <c r="E471" t="s">
        <v>52</v>
      </c>
      <c r="F471">
        <v>2</v>
      </c>
      <c r="G471">
        <v>14247</v>
      </c>
      <c r="H471" t="s">
        <v>323</v>
      </c>
      <c r="J471">
        <v>10</v>
      </c>
      <c r="K471" t="s">
        <v>21</v>
      </c>
      <c r="L471" t="s">
        <v>46</v>
      </c>
      <c r="M471" t="s">
        <v>100</v>
      </c>
      <c r="N471">
        <v>25644.6</v>
      </c>
      <c r="O471">
        <v>4769.1400000000003</v>
      </c>
      <c r="P471" t="s">
        <v>24</v>
      </c>
      <c r="Q471" t="s">
        <v>56</v>
      </c>
    </row>
    <row r="472" spans="1:17" x14ac:dyDescent="0.25">
      <c r="A472">
        <v>571</v>
      </c>
      <c r="B472" t="s">
        <v>109</v>
      </c>
      <c r="C472" t="s">
        <v>27</v>
      </c>
      <c r="D472" t="s">
        <v>69</v>
      </c>
      <c r="E472" t="s">
        <v>121</v>
      </c>
      <c r="F472">
        <v>9</v>
      </c>
      <c r="G472">
        <v>9879</v>
      </c>
      <c r="H472" t="s">
        <v>427</v>
      </c>
      <c r="J472">
        <v>15</v>
      </c>
      <c r="K472" t="s">
        <v>45</v>
      </c>
      <c r="L472" t="s">
        <v>46</v>
      </c>
      <c r="M472" t="s">
        <v>47</v>
      </c>
      <c r="N472">
        <v>75574.350000000006</v>
      </c>
      <c r="O472">
        <v>9789.2199999999993</v>
      </c>
      <c r="P472" t="s">
        <v>40</v>
      </c>
      <c r="Q472" t="s">
        <v>56</v>
      </c>
    </row>
    <row r="473" spans="1:17" x14ac:dyDescent="0.25">
      <c r="A473">
        <v>572</v>
      </c>
      <c r="B473" t="s">
        <v>61</v>
      </c>
      <c r="C473" t="s">
        <v>68</v>
      </c>
      <c r="D473" t="s">
        <v>42</v>
      </c>
      <c r="E473" t="s">
        <v>43</v>
      </c>
      <c r="F473">
        <v>1</v>
      </c>
      <c r="G473">
        <v>59217</v>
      </c>
      <c r="H473" t="s">
        <v>416</v>
      </c>
      <c r="J473">
        <v>20</v>
      </c>
      <c r="K473" t="s">
        <v>74</v>
      </c>
      <c r="L473" t="s">
        <v>31</v>
      </c>
      <c r="M473" t="s">
        <v>23</v>
      </c>
      <c r="N473">
        <v>47373.599999999999</v>
      </c>
      <c r="O473">
        <v>4173.26</v>
      </c>
      <c r="P473" t="s">
        <v>24</v>
      </c>
      <c r="Q473" t="s">
        <v>25</v>
      </c>
    </row>
    <row r="474" spans="1:17" x14ac:dyDescent="0.25">
      <c r="A474">
        <v>573</v>
      </c>
      <c r="B474" t="s">
        <v>107</v>
      </c>
      <c r="C474" t="s">
        <v>68</v>
      </c>
      <c r="D474" t="s">
        <v>42</v>
      </c>
      <c r="E474" t="s">
        <v>52</v>
      </c>
      <c r="F474">
        <v>1</v>
      </c>
      <c r="G474">
        <v>40524</v>
      </c>
      <c r="H474" t="s">
        <v>379</v>
      </c>
      <c r="J474">
        <v>20</v>
      </c>
      <c r="K474" t="s">
        <v>45</v>
      </c>
      <c r="L474" t="s">
        <v>31</v>
      </c>
      <c r="M474" t="s">
        <v>32</v>
      </c>
      <c r="N474">
        <v>32419.200000000001</v>
      </c>
      <c r="O474">
        <v>9071.34</v>
      </c>
      <c r="P474" t="s">
        <v>40</v>
      </c>
      <c r="Q474" t="s">
        <v>75</v>
      </c>
    </row>
    <row r="475" spans="1:17" x14ac:dyDescent="0.25">
      <c r="A475">
        <v>574</v>
      </c>
      <c r="B475" t="s">
        <v>61</v>
      </c>
      <c r="C475" t="s">
        <v>17</v>
      </c>
      <c r="D475" t="s">
        <v>18</v>
      </c>
      <c r="E475" t="s">
        <v>19</v>
      </c>
      <c r="F475">
        <v>10</v>
      </c>
      <c r="G475">
        <v>68355</v>
      </c>
      <c r="H475" t="s">
        <v>428</v>
      </c>
      <c r="J475">
        <v>5</v>
      </c>
      <c r="K475" t="s">
        <v>74</v>
      </c>
      <c r="L475" t="s">
        <v>46</v>
      </c>
      <c r="M475" t="s">
        <v>100</v>
      </c>
      <c r="N475">
        <v>649372.5</v>
      </c>
      <c r="O475">
        <v>155881.18</v>
      </c>
      <c r="P475" t="s">
        <v>40</v>
      </c>
      <c r="Q475" t="s">
        <v>56</v>
      </c>
    </row>
    <row r="476" spans="1:17" x14ac:dyDescent="0.25">
      <c r="A476">
        <v>575</v>
      </c>
      <c r="B476" t="s">
        <v>115</v>
      </c>
      <c r="C476" t="s">
        <v>68</v>
      </c>
      <c r="D476" t="s">
        <v>18</v>
      </c>
      <c r="E476" t="s">
        <v>19</v>
      </c>
      <c r="F476">
        <v>9</v>
      </c>
      <c r="G476">
        <v>29977</v>
      </c>
      <c r="H476" t="s">
        <v>429</v>
      </c>
      <c r="J476">
        <v>20</v>
      </c>
      <c r="K476" t="s">
        <v>21</v>
      </c>
      <c r="L476" t="s">
        <v>22</v>
      </c>
      <c r="M476" t="s">
        <v>39</v>
      </c>
      <c r="N476">
        <v>215834.4</v>
      </c>
      <c r="O476">
        <v>64180.61</v>
      </c>
      <c r="P476" t="s">
        <v>65</v>
      </c>
      <c r="Q476" t="s">
        <v>75</v>
      </c>
    </row>
    <row r="477" spans="1:17" x14ac:dyDescent="0.25">
      <c r="A477">
        <v>576</v>
      </c>
      <c r="B477" t="s">
        <v>84</v>
      </c>
      <c r="C477" t="s">
        <v>17</v>
      </c>
      <c r="D477" t="s">
        <v>76</v>
      </c>
      <c r="E477" t="s">
        <v>92</v>
      </c>
      <c r="F477">
        <v>9</v>
      </c>
      <c r="G477">
        <v>70319</v>
      </c>
      <c r="H477" t="s">
        <v>408</v>
      </c>
      <c r="J477">
        <v>5</v>
      </c>
      <c r="K477" t="s">
        <v>45</v>
      </c>
      <c r="L477" t="s">
        <v>22</v>
      </c>
      <c r="M477" t="s">
        <v>64</v>
      </c>
      <c r="N477">
        <v>601227.44999999995</v>
      </c>
      <c r="O477">
        <v>49014.55</v>
      </c>
      <c r="P477" t="s">
        <v>65</v>
      </c>
      <c r="Q477" t="s">
        <v>56</v>
      </c>
    </row>
    <row r="478" spans="1:17" x14ac:dyDescent="0.25">
      <c r="A478">
        <v>577</v>
      </c>
      <c r="B478" t="s">
        <v>115</v>
      </c>
      <c r="C478" t="s">
        <v>17</v>
      </c>
      <c r="D478" t="s">
        <v>28</v>
      </c>
      <c r="E478" t="s">
        <v>48</v>
      </c>
      <c r="F478">
        <v>4</v>
      </c>
      <c r="G478">
        <v>8054</v>
      </c>
      <c r="H478" t="s">
        <v>234</v>
      </c>
      <c r="J478">
        <v>5</v>
      </c>
      <c r="K478" t="s">
        <v>45</v>
      </c>
      <c r="L478" t="s">
        <v>55</v>
      </c>
      <c r="M478" t="s">
        <v>81</v>
      </c>
      <c r="N478">
        <v>30605.200000000001</v>
      </c>
      <c r="O478">
        <v>7442.83</v>
      </c>
      <c r="P478" t="s">
        <v>24</v>
      </c>
      <c r="Q478" t="s">
        <v>25</v>
      </c>
    </row>
    <row r="479" spans="1:17" x14ac:dyDescent="0.25">
      <c r="A479">
        <v>578</v>
      </c>
      <c r="B479" t="s">
        <v>109</v>
      </c>
      <c r="C479" t="s">
        <v>68</v>
      </c>
      <c r="D479" t="s">
        <v>69</v>
      </c>
      <c r="E479" t="s">
        <v>70</v>
      </c>
      <c r="F479">
        <v>3</v>
      </c>
      <c r="G479">
        <v>34720</v>
      </c>
      <c r="H479" t="s">
        <v>391</v>
      </c>
      <c r="J479">
        <v>20</v>
      </c>
      <c r="K479" t="s">
        <v>74</v>
      </c>
      <c r="L479" t="s">
        <v>46</v>
      </c>
      <c r="M479" t="s">
        <v>50</v>
      </c>
      <c r="N479">
        <v>83328</v>
      </c>
      <c r="O479">
        <v>23908.28</v>
      </c>
      <c r="P479" t="s">
        <v>40</v>
      </c>
      <c r="Q479" t="s">
        <v>25</v>
      </c>
    </row>
    <row r="480" spans="1:17" x14ac:dyDescent="0.25">
      <c r="A480">
        <v>579</v>
      </c>
      <c r="B480" t="s">
        <v>109</v>
      </c>
      <c r="C480" t="s">
        <v>35</v>
      </c>
      <c r="D480" t="s">
        <v>76</v>
      </c>
      <c r="E480" t="s">
        <v>77</v>
      </c>
      <c r="F480">
        <v>8</v>
      </c>
      <c r="G480">
        <v>75178</v>
      </c>
      <c r="H480" t="s">
        <v>180</v>
      </c>
      <c r="J480">
        <v>0</v>
      </c>
      <c r="K480" t="s">
        <v>74</v>
      </c>
      <c r="L480" t="s">
        <v>31</v>
      </c>
      <c r="M480" t="s">
        <v>64</v>
      </c>
      <c r="N480">
        <v>601424</v>
      </c>
      <c r="O480">
        <v>52396.82</v>
      </c>
      <c r="P480" t="s">
        <v>24</v>
      </c>
      <c r="Q480" t="s">
        <v>75</v>
      </c>
    </row>
    <row r="481" spans="1:17" x14ac:dyDescent="0.25">
      <c r="A481">
        <v>580</v>
      </c>
      <c r="B481" t="s">
        <v>79</v>
      </c>
      <c r="C481" t="s">
        <v>35</v>
      </c>
      <c r="D481" t="s">
        <v>76</v>
      </c>
      <c r="E481" t="s">
        <v>101</v>
      </c>
      <c r="F481">
        <v>5</v>
      </c>
      <c r="G481">
        <v>60985</v>
      </c>
      <c r="H481" t="s">
        <v>430</v>
      </c>
      <c r="J481">
        <v>5</v>
      </c>
      <c r="K481" t="s">
        <v>45</v>
      </c>
      <c r="L481" t="s">
        <v>22</v>
      </c>
      <c r="M481" t="s">
        <v>81</v>
      </c>
      <c r="N481">
        <v>289678.75</v>
      </c>
      <c r="O481">
        <v>42060.27</v>
      </c>
      <c r="P481" t="s">
        <v>40</v>
      </c>
      <c r="Q481" t="s">
        <v>25</v>
      </c>
    </row>
    <row r="482" spans="1:17" x14ac:dyDescent="0.25">
      <c r="A482">
        <v>581</v>
      </c>
      <c r="B482" t="s">
        <v>91</v>
      </c>
      <c r="C482" t="s">
        <v>17</v>
      </c>
      <c r="D482" t="s">
        <v>42</v>
      </c>
      <c r="E482" t="s">
        <v>59</v>
      </c>
      <c r="F482">
        <v>5</v>
      </c>
      <c r="G482">
        <v>15499</v>
      </c>
      <c r="H482" t="s">
        <v>250</v>
      </c>
      <c r="J482">
        <v>5</v>
      </c>
      <c r="K482" t="s">
        <v>58</v>
      </c>
      <c r="L482" t="s">
        <v>55</v>
      </c>
      <c r="M482" t="s">
        <v>32</v>
      </c>
      <c r="N482">
        <v>73620.25</v>
      </c>
      <c r="O482">
        <v>7474.8</v>
      </c>
      <c r="P482" t="s">
        <v>24</v>
      </c>
      <c r="Q482" t="s">
        <v>75</v>
      </c>
    </row>
    <row r="483" spans="1:17" x14ac:dyDescent="0.25">
      <c r="A483">
        <v>582</v>
      </c>
      <c r="B483" t="s">
        <v>84</v>
      </c>
      <c r="C483" t="s">
        <v>35</v>
      </c>
      <c r="D483" t="s">
        <v>76</v>
      </c>
      <c r="E483" t="s">
        <v>77</v>
      </c>
      <c r="F483">
        <v>4</v>
      </c>
      <c r="G483">
        <v>23467</v>
      </c>
      <c r="H483" t="s">
        <v>431</v>
      </c>
      <c r="J483">
        <v>0</v>
      </c>
      <c r="K483" t="s">
        <v>54</v>
      </c>
      <c r="L483" t="s">
        <v>22</v>
      </c>
      <c r="M483" t="s">
        <v>47</v>
      </c>
      <c r="N483">
        <v>93868</v>
      </c>
      <c r="O483">
        <v>8027.76</v>
      </c>
      <c r="P483" t="s">
        <v>24</v>
      </c>
      <c r="Q483" t="s">
        <v>75</v>
      </c>
    </row>
    <row r="484" spans="1:17" x14ac:dyDescent="0.25">
      <c r="A484">
        <v>583</v>
      </c>
      <c r="B484" t="s">
        <v>94</v>
      </c>
      <c r="C484" t="s">
        <v>17</v>
      </c>
      <c r="D484" t="s">
        <v>69</v>
      </c>
      <c r="E484" t="s">
        <v>70</v>
      </c>
      <c r="F484">
        <v>4</v>
      </c>
      <c r="G484">
        <v>48827</v>
      </c>
      <c r="H484" t="s">
        <v>215</v>
      </c>
      <c r="J484">
        <v>5</v>
      </c>
      <c r="K484" t="s">
        <v>38</v>
      </c>
      <c r="L484" t="s">
        <v>22</v>
      </c>
      <c r="M484" t="s">
        <v>39</v>
      </c>
      <c r="N484">
        <v>185542.6</v>
      </c>
      <c r="O484">
        <v>19364.86</v>
      </c>
      <c r="P484" t="s">
        <v>65</v>
      </c>
      <c r="Q484" t="s">
        <v>56</v>
      </c>
    </row>
    <row r="485" spans="1:17" x14ac:dyDescent="0.25">
      <c r="A485">
        <v>584</v>
      </c>
      <c r="B485" t="s">
        <v>34</v>
      </c>
      <c r="C485" t="s">
        <v>35</v>
      </c>
      <c r="D485" t="s">
        <v>28</v>
      </c>
      <c r="E485" t="s">
        <v>48</v>
      </c>
      <c r="F485">
        <v>10</v>
      </c>
      <c r="G485">
        <v>65082</v>
      </c>
      <c r="H485" t="s">
        <v>432</v>
      </c>
      <c r="J485">
        <v>20</v>
      </c>
      <c r="K485" t="s">
        <v>54</v>
      </c>
      <c r="L485" t="s">
        <v>22</v>
      </c>
      <c r="M485" t="s">
        <v>39</v>
      </c>
      <c r="N485">
        <v>520656</v>
      </c>
      <c r="O485">
        <v>117590.8</v>
      </c>
      <c r="P485" t="s">
        <v>40</v>
      </c>
      <c r="Q485" t="s">
        <v>56</v>
      </c>
    </row>
    <row r="486" spans="1:17" x14ac:dyDescent="0.25">
      <c r="A486">
        <v>585</v>
      </c>
      <c r="B486" t="s">
        <v>84</v>
      </c>
      <c r="C486" t="s">
        <v>68</v>
      </c>
      <c r="D486" t="s">
        <v>18</v>
      </c>
      <c r="E486" t="s">
        <v>36</v>
      </c>
      <c r="F486">
        <v>7</v>
      </c>
      <c r="G486">
        <v>27065</v>
      </c>
      <c r="H486" t="s">
        <v>232</v>
      </c>
      <c r="J486">
        <v>0</v>
      </c>
      <c r="K486" t="s">
        <v>54</v>
      </c>
      <c r="L486" t="s">
        <v>46</v>
      </c>
      <c r="M486" t="s">
        <v>47</v>
      </c>
      <c r="N486">
        <v>189455</v>
      </c>
      <c r="O486">
        <v>19099.169999999998</v>
      </c>
      <c r="P486" t="s">
        <v>65</v>
      </c>
      <c r="Q486" t="s">
        <v>56</v>
      </c>
    </row>
    <row r="487" spans="1:17" x14ac:dyDescent="0.25">
      <c r="A487">
        <v>586</v>
      </c>
      <c r="B487" t="s">
        <v>91</v>
      </c>
      <c r="C487" t="s">
        <v>68</v>
      </c>
      <c r="D487" t="s">
        <v>18</v>
      </c>
      <c r="E487" t="s">
        <v>62</v>
      </c>
      <c r="F487">
        <v>9</v>
      </c>
      <c r="G487">
        <v>6255</v>
      </c>
      <c r="H487" t="s">
        <v>124</v>
      </c>
      <c r="J487">
        <v>15</v>
      </c>
      <c r="K487" t="s">
        <v>21</v>
      </c>
      <c r="L487" t="s">
        <v>46</v>
      </c>
      <c r="M487" t="s">
        <v>39</v>
      </c>
      <c r="N487">
        <v>47850.75</v>
      </c>
      <c r="O487">
        <v>4900.3900000000003</v>
      </c>
      <c r="P487" t="s">
        <v>33</v>
      </c>
      <c r="Q487" t="s">
        <v>56</v>
      </c>
    </row>
    <row r="488" spans="1:17" x14ac:dyDescent="0.25">
      <c r="A488">
        <v>587</v>
      </c>
      <c r="B488" t="s">
        <v>34</v>
      </c>
      <c r="C488" t="s">
        <v>17</v>
      </c>
      <c r="D488" t="s">
        <v>28</v>
      </c>
      <c r="E488" t="s">
        <v>29</v>
      </c>
      <c r="F488">
        <v>3</v>
      </c>
      <c r="G488">
        <v>42396</v>
      </c>
      <c r="H488" t="s">
        <v>433</v>
      </c>
      <c r="J488">
        <v>10</v>
      </c>
      <c r="K488" t="s">
        <v>54</v>
      </c>
      <c r="L488" t="s">
        <v>31</v>
      </c>
      <c r="M488" t="s">
        <v>64</v>
      </c>
      <c r="N488">
        <v>114469.2</v>
      </c>
      <c r="O488">
        <v>25714.65</v>
      </c>
      <c r="P488" t="s">
        <v>40</v>
      </c>
      <c r="Q488" t="s">
        <v>25</v>
      </c>
    </row>
    <row r="489" spans="1:17" x14ac:dyDescent="0.25">
      <c r="A489">
        <v>588</v>
      </c>
      <c r="B489" t="s">
        <v>16</v>
      </c>
      <c r="C489" t="s">
        <v>35</v>
      </c>
      <c r="D489" t="s">
        <v>42</v>
      </c>
      <c r="E489" t="s">
        <v>52</v>
      </c>
      <c r="F489">
        <v>1</v>
      </c>
      <c r="G489">
        <v>73338</v>
      </c>
      <c r="H489" t="s">
        <v>434</v>
      </c>
      <c r="J489">
        <v>0</v>
      </c>
      <c r="K489" t="s">
        <v>74</v>
      </c>
      <c r="L489" t="s">
        <v>46</v>
      </c>
      <c r="M489" t="s">
        <v>39</v>
      </c>
      <c r="N489">
        <v>73338</v>
      </c>
      <c r="O489">
        <v>6795.27</v>
      </c>
      <c r="P489" t="s">
        <v>24</v>
      </c>
      <c r="Q489" t="s">
        <v>25</v>
      </c>
    </row>
    <row r="490" spans="1:17" x14ac:dyDescent="0.25">
      <c r="A490">
        <v>589</v>
      </c>
      <c r="B490" t="s">
        <v>34</v>
      </c>
      <c r="C490" t="s">
        <v>27</v>
      </c>
      <c r="D490" t="s">
        <v>76</v>
      </c>
      <c r="E490" t="s">
        <v>101</v>
      </c>
      <c r="F490">
        <v>2</v>
      </c>
      <c r="G490">
        <v>9744</v>
      </c>
      <c r="H490" t="s">
        <v>174</v>
      </c>
      <c r="J490">
        <v>5</v>
      </c>
      <c r="K490" t="s">
        <v>45</v>
      </c>
      <c r="L490" t="s">
        <v>55</v>
      </c>
      <c r="M490" t="s">
        <v>39</v>
      </c>
      <c r="N490">
        <v>18513.599999999999</v>
      </c>
      <c r="O490">
        <v>1553.13</v>
      </c>
      <c r="P490" t="s">
        <v>24</v>
      </c>
      <c r="Q490" t="s">
        <v>25</v>
      </c>
    </row>
    <row r="491" spans="1:17" x14ac:dyDescent="0.25">
      <c r="A491">
        <v>590</v>
      </c>
      <c r="B491" t="s">
        <v>94</v>
      </c>
      <c r="C491" t="s">
        <v>68</v>
      </c>
      <c r="D491" t="s">
        <v>69</v>
      </c>
      <c r="E491" t="s">
        <v>98</v>
      </c>
      <c r="F491">
        <v>7</v>
      </c>
      <c r="G491">
        <v>72198</v>
      </c>
      <c r="H491" t="s">
        <v>247</v>
      </c>
      <c r="J491">
        <v>15</v>
      </c>
      <c r="K491" t="s">
        <v>54</v>
      </c>
      <c r="L491" t="s">
        <v>22</v>
      </c>
      <c r="M491" t="s">
        <v>23</v>
      </c>
      <c r="N491">
        <v>429578.1</v>
      </c>
      <c r="O491">
        <v>66182.740000000005</v>
      </c>
      <c r="P491" t="s">
        <v>65</v>
      </c>
      <c r="Q491" t="s">
        <v>56</v>
      </c>
    </row>
    <row r="492" spans="1:17" x14ac:dyDescent="0.25">
      <c r="A492">
        <v>591</v>
      </c>
      <c r="B492" t="s">
        <v>107</v>
      </c>
      <c r="C492" t="s">
        <v>68</v>
      </c>
      <c r="D492" t="s">
        <v>18</v>
      </c>
      <c r="E492" t="s">
        <v>36</v>
      </c>
      <c r="F492">
        <v>5</v>
      </c>
      <c r="G492">
        <v>43672</v>
      </c>
      <c r="H492" t="s">
        <v>279</v>
      </c>
      <c r="J492">
        <v>10</v>
      </c>
      <c r="K492" t="s">
        <v>45</v>
      </c>
      <c r="L492" t="s">
        <v>22</v>
      </c>
      <c r="M492" t="s">
        <v>32</v>
      </c>
      <c r="N492">
        <v>196524</v>
      </c>
      <c r="O492">
        <v>47392.87</v>
      </c>
      <c r="P492" t="s">
        <v>40</v>
      </c>
      <c r="Q492" t="s">
        <v>56</v>
      </c>
    </row>
    <row r="493" spans="1:17" x14ac:dyDescent="0.25">
      <c r="A493">
        <v>592</v>
      </c>
      <c r="B493" t="s">
        <v>16</v>
      </c>
      <c r="C493" t="s">
        <v>68</v>
      </c>
      <c r="D493" t="s">
        <v>69</v>
      </c>
      <c r="E493" t="s">
        <v>121</v>
      </c>
      <c r="F493">
        <v>8</v>
      </c>
      <c r="G493">
        <v>27783</v>
      </c>
      <c r="H493" t="s">
        <v>427</v>
      </c>
      <c r="J493">
        <v>0</v>
      </c>
      <c r="K493" t="s">
        <v>21</v>
      </c>
      <c r="L493" t="s">
        <v>22</v>
      </c>
      <c r="M493" t="s">
        <v>64</v>
      </c>
      <c r="N493">
        <v>222264</v>
      </c>
      <c r="O493">
        <v>19196.48</v>
      </c>
      <c r="P493" t="s">
        <v>24</v>
      </c>
      <c r="Q493" t="s">
        <v>75</v>
      </c>
    </row>
    <row r="494" spans="1:17" x14ac:dyDescent="0.25">
      <c r="A494">
        <v>593</v>
      </c>
      <c r="B494" t="s">
        <v>109</v>
      </c>
      <c r="C494" t="s">
        <v>17</v>
      </c>
      <c r="D494" t="s">
        <v>28</v>
      </c>
      <c r="E494" t="s">
        <v>48</v>
      </c>
      <c r="F494">
        <v>4</v>
      </c>
      <c r="G494">
        <v>35096</v>
      </c>
      <c r="H494" t="s">
        <v>435</v>
      </c>
      <c r="J494">
        <v>10</v>
      </c>
      <c r="K494" t="s">
        <v>38</v>
      </c>
      <c r="L494" t="s">
        <v>55</v>
      </c>
      <c r="M494" t="s">
        <v>50</v>
      </c>
      <c r="N494">
        <v>126345.60000000001</v>
      </c>
      <c r="O494">
        <v>33660.42</v>
      </c>
      <c r="P494" t="s">
        <v>24</v>
      </c>
      <c r="Q494" t="s">
        <v>75</v>
      </c>
    </row>
    <row r="495" spans="1:17" x14ac:dyDescent="0.25">
      <c r="A495">
        <v>594</v>
      </c>
      <c r="B495" t="s">
        <v>67</v>
      </c>
      <c r="C495" t="s">
        <v>17</v>
      </c>
      <c r="D495" t="s">
        <v>28</v>
      </c>
      <c r="E495" t="s">
        <v>103</v>
      </c>
      <c r="F495">
        <v>6</v>
      </c>
      <c r="G495">
        <v>971</v>
      </c>
      <c r="H495" t="s">
        <v>209</v>
      </c>
      <c r="J495">
        <v>10</v>
      </c>
      <c r="K495" t="s">
        <v>54</v>
      </c>
      <c r="L495" t="s">
        <v>55</v>
      </c>
      <c r="M495" t="s">
        <v>64</v>
      </c>
      <c r="N495">
        <v>5243.4</v>
      </c>
      <c r="O495">
        <v>537.33000000000004</v>
      </c>
      <c r="P495" t="s">
        <v>24</v>
      </c>
      <c r="Q495" t="s">
        <v>56</v>
      </c>
    </row>
    <row r="496" spans="1:17" x14ac:dyDescent="0.25">
      <c r="A496">
        <v>595</v>
      </c>
      <c r="B496" t="s">
        <v>84</v>
      </c>
      <c r="C496" t="s">
        <v>17</v>
      </c>
      <c r="D496" t="s">
        <v>76</v>
      </c>
      <c r="E496" t="s">
        <v>77</v>
      </c>
      <c r="F496">
        <v>5</v>
      </c>
      <c r="G496">
        <v>62195</v>
      </c>
      <c r="H496" t="s">
        <v>436</v>
      </c>
      <c r="J496">
        <v>20</v>
      </c>
      <c r="K496" t="s">
        <v>74</v>
      </c>
      <c r="L496" t="s">
        <v>31</v>
      </c>
      <c r="M496" t="s">
        <v>64</v>
      </c>
      <c r="N496">
        <v>248780</v>
      </c>
      <c r="O496">
        <v>54604.92</v>
      </c>
      <c r="P496" t="s">
        <v>40</v>
      </c>
      <c r="Q496" t="s">
        <v>56</v>
      </c>
    </row>
    <row r="497" spans="1:17" x14ac:dyDescent="0.25">
      <c r="A497">
        <v>596</v>
      </c>
      <c r="B497" t="s">
        <v>61</v>
      </c>
      <c r="C497" t="s">
        <v>17</v>
      </c>
      <c r="D497" t="s">
        <v>76</v>
      </c>
      <c r="E497" t="s">
        <v>101</v>
      </c>
      <c r="F497">
        <v>5</v>
      </c>
      <c r="G497">
        <v>5633</v>
      </c>
      <c r="H497" t="s">
        <v>114</v>
      </c>
      <c r="J497">
        <v>15</v>
      </c>
      <c r="K497" t="s">
        <v>21</v>
      </c>
      <c r="L497" t="s">
        <v>31</v>
      </c>
      <c r="M497" t="s">
        <v>50</v>
      </c>
      <c r="N497">
        <v>23940.25</v>
      </c>
      <c r="O497">
        <v>4154.9399999999996</v>
      </c>
      <c r="P497" t="s">
        <v>24</v>
      </c>
      <c r="Q497" t="s">
        <v>75</v>
      </c>
    </row>
    <row r="498" spans="1:17" x14ac:dyDescent="0.25">
      <c r="A498">
        <v>597</v>
      </c>
      <c r="B498" t="s">
        <v>91</v>
      </c>
      <c r="C498" t="s">
        <v>68</v>
      </c>
      <c r="D498" t="s">
        <v>69</v>
      </c>
      <c r="E498" t="s">
        <v>70</v>
      </c>
      <c r="F498">
        <v>5</v>
      </c>
      <c r="G498">
        <v>27201</v>
      </c>
      <c r="H498" t="s">
        <v>437</v>
      </c>
      <c r="J498">
        <v>0</v>
      </c>
      <c r="K498" t="s">
        <v>38</v>
      </c>
      <c r="L498" t="s">
        <v>46</v>
      </c>
      <c r="M498" t="s">
        <v>23</v>
      </c>
      <c r="N498">
        <v>136005</v>
      </c>
      <c r="O498">
        <v>27616.74</v>
      </c>
      <c r="P498" t="s">
        <v>33</v>
      </c>
      <c r="Q498" t="s">
        <v>25</v>
      </c>
    </row>
    <row r="499" spans="1:17" x14ac:dyDescent="0.25">
      <c r="A499">
        <v>598</v>
      </c>
      <c r="B499" t="s">
        <v>96</v>
      </c>
      <c r="C499" t="s">
        <v>17</v>
      </c>
      <c r="D499" t="s">
        <v>76</v>
      </c>
      <c r="E499" t="s">
        <v>77</v>
      </c>
      <c r="F499">
        <v>6</v>
      </c>
      <c r="G499">
        <v>62050</v>
      </c>
      <c r="H499" t="s">
        <v>438</v>
      </c>
      <c r="J499">
        <v>20</v>
      </c>
      <c r="K499" t="s">
        <v>45</v>
      </c>
      <c r="L499" t="s">
        <v>22</v>
      </c>
      <c r="M499" t="s">
        <v>47</v>
      </c>
      <c r="N499">
        <v>297840</v>
      </c>
      <c r="O499">
        <v>59506.84</v>
      </c>
      <c r="P499" t="s">
        <v>33</v>
      </c>
      <c r="Q499" t="s">
        <v>56</v>
      </c>
    </row>
    <row r="500" spans="1:17" x14ac:dyDescent="0.25">
      <c r="A500">
        <v>599</v>
      </c>
      <c r="B500" t="s">
        <v>26</v>
      </c>
      <c r="C500" t="s">
        <v>35</v>
      </c>
      <c r="D500" t="s">
        <v>42</v>
      </c>
      <c r="E500" t="s">
        <v>43</v>
      </c>
      <c r="F500">
        <v>6</v>
      </c>
      <c r="G500">
        <v>11654</v>
      </c>
      <c r="H500" t="s">
        <v>168</v>
      </c>
      <c r="J500">
        <v>0</v>
      </c>
      <c r="K500" t="s">
        <v>38</v>
      </c>
      <c r="L500" t="s">
        <v>22</v>
      </c>
      <c r="M500" t="s">
        <v>50</v>
      </c>
      <c r="N500">
        <v>69924</v>
      </c>
      <c r="O500">
        <v>18935.46</v>
      </c>
      <c r="P500" t="s">
        <v>40</v>
      </c>
      <c r="Q500" t="s">
        <v>25</v>
      </c>
    </row>
    <row r="501" spans="1:17" x14ac:dyDescent="0.25">
      <c r="A501">
        <v>600</v>
      </c>
      <c r="B501" t="s">
        <v>115</v>
      </c>
      <c r="C501" t="s">
        <v>35</v>
      </c>
      <c r="D501" t="s">
        <v>76</v>
      </c>
      <c r="E501" t="s">
        <v>77</v>
      </c>
      <c r="F501">
        <v>10</v>
      </c>
      <c r="G501">
        <v>76770</v>
      </c>
      <c r="H501" t="s">
        <v>382</v>
      </c>
      <c r="J501">
        <v>20</v>
      </c>
      <c r="K501" t="s">
        <v>74</v>
      </c>
      <c r="L501" t="s">
        <v>31</v>
      </c>
      <c r="M501" t="s">
        <v>50</v>
      </c>
      <c r="N501">
        <v>614160</v>
      </c>
      <c r="O501">
        <v>50336.38</v>
      </c>
      <c r="P501" t="s">
        <v>40</v>
      </c>
      <c r="Q501" t="s">
        <v>25</v>
      </c>
    </row>
    <row r="502" spans="1:17" x14ac:dyDescent="0.25">
      <c r="A502">
        <v>601</v>
      </c>
      <c r="B502" t="s">
        <v>79</v>
      </c>
      <c r="C502" t="s">
        <v>27</v>
      </c>
      <c r="D502" t="s">
        <v>76</v>
      </c>
      <c r="E502" t="s">
        <v>77</v>
      </c>
      <c r="F502">
        <v>1</v>
      </c>
      <c r="G502">
        <v>1053</v>
      </c>
      <c r="H502" t="s">
        <v>439</v>
      </c>
      <c r="J502">
        <v>15</v>
      </c>
      <c r="K502" t="s">
        <v>21</v>
      </c>
      <c r="L502" t="s">
        <v>31</v>
      </c>
      <c r="M502" t="s">
        <v>64</v>
      </c>
      <c r="N502">
        <v>895.05</v>
      </c>
      <c r="O502">
        <v>83.3</v>
      </c>
      <c r="P502" t="s">
        <v>40</v>
      </c>
      <c r="Q502" t="s">
        <v>56</v>
      </c>
    </row>
    <row r="503" spans="1:17" x14ac:dyDescent="0.25">
      <c r="A503">
        <v>602</v>
      </c>
      <c r="B503" t="s">
        <v>91</v>
      </c>
      <c r="C503" t="s">
        <v>27</v>
      </c>
      <c r="D503" t="s">
        <v>69</v>
      </c>
      <c r="E503" t="s">
        <v>98</v>
      </c>
      <c r="F503">
        <v>7</v>
      </c>
      <c r="G503">
        <v>26708</v>
      </c>
      <c r="H503" t="s">
        <v>440</v>
      </c>
      <c r="J503">
        <v>10</v>
      </c>
      <c r="K503" t="s">
        <v>21</v>
      </c>
      <c r="L503" t="s">
        <v>46</v>
      </c>
      <c r="M503" t="s">
        <v>81</v>
      </c>
      <c r="N503">
        <v>168260.4</v>
      </c>
      <c r="O503">
        <v>42770.92</v>
      </c>
      <c r="P503" t="s">
        <v>33</v>
      </c>
      <c r="Q503" t="s">
        <v>56</v>
      </c>
    </row>
    <row r="504" spans="1:17" x14ac:dyDescent="0.25">
      <c r="A504">
        <v>603</v>
      </c>
      <c r="B504" t="s">
        <v>79</v>
      </c>
      <c r="C504" t="s">
        <v>17</v>
      </c>
      <c r="D504" t="s">
        <v>69</v>
      </c>
      <c r="E504" t="s">
        <v>70</v>
      </c>
      <c r="F504">
        <v>10</v>
      </c>
      <c r="G504">
        <v>28752</v>
      </c>
      <c r="H504" t="s">
        <v>441</v>
      </c>
      <c r="J504">
        <v>10</v>
      </c>
      <c r="K504" t="s">
        <v>38</v>
      </c>
      <c r="L504" t="s">
        <v>46</v>
      </c>
      <c r="M504" t="s">
        <v>100</v>
      </c>
      <c r="N504">
        <v>258768</v>
      </c>
      <c r="O504">
        <v>29298.2</v>
      </c>
      <c r="P504" t="s">
        <v>24</v>
      </c>
      <c r="Q504" t="s">
        <v>75</v>
      </c>
    </row>
    <row r="505" spans="1:17" x14ac:dyDescent="0.25">
      <c r="A505">
        <v>604</v>
      </c>
      <c r="B505" t="s">
        <v>96</v>
      </c>
      <c r="C505" t="s">
        <v>35</v>
      </c>
      <c r="D505" t="s">
        <v>76</v>
      </c>
      <c r="E505" t="s">
        <v>92</v>
      </c>
      <c r="F505">
        <v>10</v>
      </c>
      <c r="G505">
        <v>7347</v>
      </c>
      <c r="H505" t="s">
        <v>442</v>
      </c>
      <c r="J505">
        <v>15</v>
      </c>
      <c r="K505" t="s">
        <v>58</v>
      </c>
      <c r="L505" t="s">
        <v>46</v>
      </c>
      <c r="M505" t="s">
        <v>81</v>
      </c>
      <c r="N505">
        <v>62449.5</v>
      </c>
      <c r="O505">
        <v>10366.32</v>
      </c>
      <c r="P505" t="s">
        <v>33</v>
      </c>
      <c r="Q505" t="s">
        <v>75</v>
      </c>
    </row>
    <row r="506" spans="1:17" x14ac:dyDescent="0.25">
      <c r="A506">
        <v>605</v>
      </c>
      <c r="B506" t="s">
        <v>107</v>
      </c>
      <c r="C506" t="s">
        <v>27</v>
      </c>
      <c r="D506" t="s">
        <v>42</v>
      </c>
      <c r="E506" t="s">
        <v>52</v>
      </c>
      <c r="F506">
        <v>3</v>
      </c>
      <c r="G506">
        <v>60327</v>
      </c>
      <c r="H506" t="s">
        <v>443</v>
      </c>
      <c r="J506">
        <v>15</v>
      </c>
      <c r="K506" t="s">
        <v>45</v>
      </c>
      <c r="L506" t="s">
        <v>31</v>
      </c>
      <c r="M506" t="s">
        <v>23</v>
      </c>
      <c r="N506">
        <v>153833.85</v>
      </c>
      <c r="O506">
        <v>33171.54</v>
      </c>
      <c r="P506" t="s">
        <v>24</v>
      </c>
      <c r="Q506" t="s">
        <v>75</v>
      </c>
    </row>
    <row r="507" spans="1:17" x14ac:dyDescent="0.25">
      <c r="A507">
        <v>606</v>
      </c>
      <c r="B507" t="s">
        <v>26</v>
      </c>
      <c r="C507" t="s">
        <v>35</v>
      </c>
      <c r="D507" t="s">
        <v>28</v>
      </c>
      <c r="E507" t="s">
        <v>48</v>
      </c>
      <c r="F507">
        <v>1</v>
      </c>
      <c r="G507">
        <v>38380</v>
      </c>
      <c r="H507" t="s">
        <v>444</v>
      </c>
      <c r="J507">
        <v>0</v>
      </c>
      <c r="K507" t="s">
        <v>45</v>
      </c>
      <c r="L507" t="s">
        <v>55</v>
      </c>
      <c r="M507" t="s">
        <v>32</v>
      </c>
      <c r="N507">
        <v>38380</v>
      </c>
      <c r="O507">
        <v>10756.15</v>
      </c>
      <c r="P507" t="s">
        <v>24</v>
      </c>
      <c r="Q507" t="s">
        <v>56</v>
      </c>
    </row>
    <row r="508" spans="1:17" x14ac:dyDescent="0.25">
      <c r="A508">
        <v>607</v>
      </c>
      <c r="B508" t="s">
        <v>67</v>
      </c>
      <c r="C508" t="s">
        <v>17</v>
      </c>
      <c r="D508" t="s">
        <v>69</v>
      </c>
      <c r="E508" t="s">
        <v>98</v>
      </c>
      <c r="F508">
        <v>9</v>
      </c>
      <c r="G508">
        <v>38450</v>
      </c>
      <c r="H508" t="s">
        <v>241</v>
      </c>
      <c r="J508">
        <v>0</v>
      </c>
      <c r="K508" t="s">
        <v>21</v>
      </c>
      <c r="L508" t="s">
        <v>31</v>
      </c>
      <c r="M508" t="s">
        <v>64</v>
      </c>
      <c r="N508">
        <v>346050</v>
      </c>
      <c r="O508">
        <v>76700.41</v>
      </c>
      <c r="P508" t="s">
        <v>33</v>
      </c>
      <c r="Q508" t="s">
        <v>25</v>
      </c>
    </row>
    <row r="509" spans="1:17" x14ac:dyDescent="0.25">
      <c r="A509">
        <v>608</v>
      </c>
      <c r="B509" t="s">
        <v>107</v>
      </c>
      <c r="C509" t="s">
        <v>35</v>
      </c>
      <c r="D509" t="s">
        <v>42</v>
      </c>
      <c r="E509" t="s">
        <v>52</v>
      </c>
      <c r="F509">
        <v>8</v>
      </c>
      <c r="G509">
        <v>3555</v>
      </c>
      <c r="H509" t="s">
        <v>444</v>
      </c>
      <c r="J509">
        <v>15</v>
      </c>
      <c r="K509" t="s">
        <v>54</v>
      </c>
      <c r="L509" t="s">
        <v>46</v>
      </c>
      <c r="M509" t="s">
        <v>50</v>
      </c>
      <c r="N509">
        <v>24174</v>
      </c>
      <c r="O509">
        <v>5807.29</v>
      </c>
      <c r="P509" t="s">
        <v>33</v>
      </c>
      <c r="Q509" t="s">
        <v>75</v>
      </c>
    </row>
    <row r="510" spans="1:17" x14ac:dyDescent="0.25">
      <c r="A510">
        <v>609</v>
      </c>
      <c r="B510" t="s">
        <v>16</v>
      </c>
      <c r="C510" t="s">
        <v>27</v>
      </c>
      <c r="D510" t="s">
        <v>18</v>
      </c>
      <c r="E510" t="s">
        <v>62</v>
      </c>
      <c r="F510">
        <v>7</v>
      </c>
      <c r="G510">
        <v>60334</v>
      </c>
      <c r="H510" t="s">
        <v>222</v>
      </c>
      <c r="J510">
        <v>15</v>
      </c>
      <c r="K510" t="s">
        <v>54</v>
      </c>
      <c r="L510" t="s">
        <v>46</v>
      </c>
      <c r="M510" t="s">
        <v>47</v>
      </c>
      <c r="N510">
        <v>358987.3</v>
      </c>
      <c r="O510">
        <v>44340.09</v>
      </c>
      <c r="P510" t="s">
        <v>65</v>
      </c>
      <c r="Q510" t="s">
        <v>25</v>
      </c>
    </row>
    <row r="511" spans="1:17" x14ac:dyDescent="0.25">
      <c r="A511">
        <v>610</v>
      </c>
      <c r="B511" t="s">
        <v>84</v>
      </c>
      <c r="C511" t="s">
        <v>27</v>
      </c>
      <c r="D511" t="s">
        <v>18</v>
      </c>
      <c r="E511" t="s">
        <v>72</v>
      </c>
      <c r="F511">
        <v>1</v>
      </c>
      <c r="G511">
        <v>11752</v>
      </c>
      <c r="H511" t="s">
        <v>445</v>
      </c>
      <c r="J511">
        <v>0</v>
      </c>
      <c r="K511" t="s">
        <v>38</v>
      </c>
      <c r="L511" t="s">
        <v>31</v>
      </c>
      <c r="M511" t="s">
        <v>23</v>
      </c>
      <c r="N511">
        <v>11752</v>
      </c>
      <c r="O511">
        <v>1313.42</v>
      </c>
      <c r="P511" t="s">
        <v>24</v>
      </c>
      <c r="Q511" t="s">
        <v>25</v>
      </c>
    </row>
    <row r="512" spans="1:17" x14ac:dyDescent="0.25">
      <c r="A512">
        <v>611</v>
      </c>
      <c r="B512" t="s">
        <v>115</v>
      </c>
      <c r="C512" t="s">
        <v>35</v>
      </c>
      <c r="D512" t="s">
        <v>28</v>
      </c>
      <c r="E512" t="s">
        <v>103</v>
      </c>
      <c r="F512">
        <v>10</v>
      </c>
      <c r="G512">
        <v>23738</v>
      </c>
      <c r="H512" t="s">
        <v>446</v>
      </c>
      <c r="J512">
        <v>5</v>
      </c>
      <c r="K512" t="s">
        <v>74</v>
      </c>
      <c r="L512" t="s">
        <v>31</v>
      </c>
      <c r="M512" t="s">
        <v>81</v>
      </c>
      <c r="N512">
        <v>225511</v>
      </c>
      <c r="O512">
        <v>26804.33</v>
      </c>
      <c r="P512" t="s">
        <v>40</v>
      </c>
      <c r="Q512" t="s">
        <v>25</v>
      </c>
    </row>
    <row r="513" spans="1:17" x14ac:dyDescent="0.25">
      <c r="A513">
        <v>612</v>
      </c>
      <c r="B513" t="s">
        <v>61</v>
      </c>
      <c r="C513" t="s">
        <v>27</v>
      </c>
      <c r="D513" t="s">
        <v>28</v>
      </c>
      <c r="E513" t="s">
        <v>29</v>
      </c>
      <c r="F513">
        <v>4</v>
      </c>
      <c r="G513">
        <v>65095</v>
      </c>
      <c r="H513" t="s">
        <v>447</v>
      </c>
      <c r="J513">
        <v>10</v>
      </c>
      <c r="K513" t="s">
        <v>21</v>
      </c>
      <c r="L513" t="s">
        <v>22</v>
      </c>
      <c r="M513" t="s">
        <v>39</v>
      </c>
      <c r="N513">
        <v>234342</v>
      </c>
      <c r="O513">
        <v>51194.98</v>
      </c>
      <c r="P513" t="s">
        <v>40</v>
      </c>
      <c r="Q513" t="s">
        <v>25</v>
      </c>
    </row>
    <row r="514" spans="1:17" x14ac:dyDescent="0.25">
      <c r="A514">
        <v>613</v>
      </c>
      <c r="B514" t="s">
        <v>26</v>
      </c>
      <c r="C514" t="s">
        <v>17</v>
      </c>
      <c r="D514" t="s">
        <v>42</v>
      </c>
      <c r="E514" t="s">
        <v>52</v>
      </c>
      <c r="F514">
        <v>5</v>
      </c>
      <c r="G514">
        <v>48363</v>
      </c>
      <c r="H514" t="s">
        <v>448</v>
      </c>
      <c r="J514">
        <v>15</v>
      </c>
      <c r="K514" t="s">
        <v>21</v>
      </c>
      <c r="L514" t="s">
        <v>55</v>
      </c>
      <c r="M514" t="s">
        <v>50</v>
      </c>
      <c r="N514">
        <v>205542.75</v>
      </c>
      <c r="O514">
        <v>37848.17</v>
      </c>
      <c r="P514" t="s">
        <v>40</v>
      </c>
      <c r="Q514" t="s">
        <v>75</v>
      </c>
    </row>
    <row r="515" spans="1:17" x14ac:dyDescent="0.25">
      <c r="A515">
        <v>614</v>
      </c>
      <c r="B515" t="s">
        <v>51</v>
      </c>
      <c r="C515" t="s">
        <v>68</v>
      </c>
      <c r="D515" t="s">
        <v>28</v>
      </c>
      <c r="E515" t="s">
        <v>103</v>
      </c>
      <c r="F515">
        <v>3</v>
      </c>
      <c r="G515">
        <v>8976</v>
      </c>
      <c r="H515" t="s">
        <v>449</v>
      </c>
      <c r="J515">
        <v>5</v>
      </c>
      <c r="K515" t="s">
        <v>38</v>
      </c>
      <c r="L515" t="s">
        <v>22</v>
      </c>
      <c r="M515" t="s">
        <v>32</v>
      </c>
      <c r="N515">
        <v>25581.599999999999</v>
      </c>
      <c r="O515">
        <v>6472.16</v>
      </c>
      <c r="P515" t="s">
        <v>24</v>
      </c>
      <c r="Q515" t="s">
        <v>25</v>
      </c>
    </row>
    <row r="516" spans="1:17" x14ac:dyDescent="0.25">
      <c r="A516">
        <v>615</v>
      </c>
      <c r="B516" t="s">
        <v>109</v>
      </c>
      <c r="C516" t="s">
        <v>17</v>
      </c>
      <c r="D516" t="s">
        <v>28</v>
      </c>
      <c r="E516" t="s">
        <v>48</v>
      </c>
      <c r="F516">
        <v>9</v>
      </c>
      <c r="G516">
        <v>30727</v>
      </c>
      <c r="H516" t="s">
        <v>450</v>
      </c>
      <c r="J516">
        <v>0</v>
      </c>
      <c r="K516" t="s">
        <v>58</v>
      </c>
      <c r="L516" t="s">
        <v>31</v>
      </c>
      <c r="M516" t="s">
        <v>64</v>
      </c>
      <c r="N516">
        <v>276543</v>
      </c>
      <c r="O516">
        <v>23499.119999999999</v>
      </c>
      <c r="P516" t="s">
        <v>24</v>
      </c>
      <c r="Q516" t="s">
        <v>25</v>
      </c>
    </row>
    <row r="517" spans="1:17" x14ac:dyDescent="0.25">
      <c r="A517">
        <v>616</v>
      </c>
      <c r="B517" t="s">
        <v>79</v>
      </c>
      <c r="C517" t="s">
        <v>68</v>
      </c>
      <c r="D517" t="s">
        <v>69</v>
      </c>
      <c r="E517" t="s">
        <v>98</v>
      </c>
      <c r="F517">
        <v>2</v>
      </c>
      <c r="G517">
        <v>71459</v>
      </c>
      <c r="H517" t="s">
        <v>414</v>
      </c>
      <c r="J517">
        <v>20</v>
      </c>
      <c r="K517" t="s">
        <v>58</v>
      </c>
      <c r="L517" t="s">
        <v>22</v>
      </c>
      <c r="M517" t="s">
        <v>50</v>
      </c>
      <c r="N517">
        <v>114334.39999999999</v>
      </c>
      <c r="O517">
        <v>18357.88</v>
      </c>
      <c r="P517" t="s">
        <v>65</v>
      </c>
      <c r="Q517" t="s">
        <v>75</v>
      </c>
    </row>
    <row r="518" spans="1:17" x14ac:dyDescent="0.25">
      <c r="A518">
        <v>617</v>
      </c>
      <c r="B518" t="s">
        <v>91</v>
      </c>
      <c r="C518" t="s">
        <v>35</v>
      </c>
      <c r="D518" t="s">
        <v>76</v>
      </c>
      <c r="E518" t="s">
        <v>101</v>
      </c>
      <c r="F518">
        <v>4</v>
      </c>
      <c r="G518">
        <v>26252</v>
      </c>
      <c r="H518" t="s">
        <v>451</v>
      </c>
      <c r="J518">
        <v>20</v>
      </c>
      <c r="K518" t="s">
        <v>38</v>
      </c>
      <c r="L518" t="s">
        <v>46</v>
      </c>
      <c r="M518" t="s">
        <v>23</v>
      </c>
      <c r="N518">
        <v>84006.399999999994</v>
      </c>
      <c r="O518">
        <v>17369.09</v>
      </c>
      <c r="P518" t="s">
        <v>24</v>
      </c>
      <c r="Q518" t="s">
        <v>25</v>
      </c>
    </row>
    <row r="519" spans="1:17" x14ac:dyDescent="0.25">
      <c r="A519">
        <v>618</v>
      </c>
      <c r="B519" t="s">
        <v>96</v>
      </c>
      <c r="C519" t="s">
        <v>17</v>
      </c>
      <c r="D519" t="s">
        <v>28</v>
      </c>
      <c r="E519" t="s">
        <v>29</v>
      </c>
      <c r="F519">
        <v>7</v>
      </c>
      <c r="G519">
        <v>50635</v>
      </c>
      <c r="H519" t="s">
        <v>362</v>
      </c>
      <c r="J519">
        <v>15</v>
      </c>
      <c r="K519" t="s">
        <v>58</v>
      </c>
      <c r="L519" t="s">
        <v>55</v>
      </c>
      <c r="M519" t="s">
        <v>50</v>
      </c>
      <c r="N519">
        <v>301278.25</v>
      </c>
      <c r="O519">
        <v>61518.21</v>
      </c>
      <c r="P519" t="s">
        <v>40</v>
      </c>
      <c r="Q519" t="s">
        <v>75</v>
      </c>
    </row>
    <row r="520" spans="1:17" x14ac:dyDescent="0.25">
      <c r="A520">
        <v>619</v>
      </c>
      <c r="B520" t="s">
        <v>115</v>
      </c>
      <c r="C520" t="s">
        <v>68</v>
      </c>
      <c r="D520" t="s">
        <v>28</v>
      </c>
      <c r="E520" t="s">
        <v>48</v>
      </c>
      <c r="F520">
        <v>2</v>
      </c>
      <c r="G520">
        <v>36687</v>
      </c>
      <c r="H520" t="s">
        <v>113</v>
      </c>
      <c r="J520">
        <v>5</v>
      </c>
      <c r="K520" t="s">
        <v>54</v>
      </c>
      <c r="L520" t="s">
        <v>22</v>
      </c>
      <c r="M520" t="s">
        <v>47</v>
      </c>
      <c r="N520">
        <v>69705.3</v>
      </c>
      <c r="O520">
        <v>8712.16</v>
      </c>
      <c r="P520" t="s">
        <v>65</v>
      </c>
      <c r="Q520" t="s">
        <v>75</v>
      </c>
    </row>
    <row r="521" spans="1:17" x14ac:dyDescent="0.25">
      <c r="A521">
        <v>620</v>
      </c>
      <c r="B521" t="s">
        <v>26</v>
      </c>
      <c r="C521" t="s">
        <v>35</v>
      </c>
      <c r="D521" t="s">
        <v>76</v>
      </c>
      <c r="E521" t="s">
        <v>101</v>
      </c>
      <c r="F521">
        <v>9</v>
      </c>
      <c r="G521">
        <v>74789</v>
      </c>
      <c r="H521" t="s">
        <v>452</v>
      </c>
      <c r="J521">
        <v>10</v>
      </c>
      <c r="K521" t="s">
        <v>45</v>
      </c>
      <c r="L521" t="s">
        <v>55</v>
      </c>
      <c r="M521" t="s">
        <v>100</v>
      </c>
      <c r="N521">
        <v>605790.9</v>
      </c>
      <c r="O521">
        <v>171434.23</v>
      </c>
      <c r="P521" t="s">
        <v>65</v>
      </c>
      <c r="Q521" t="s">
        <v>56</v>
      </c>
    </row>
    <row r="522" spans="1:17" x14ac:dyDescent="0.25">
      <c r="A522">
        <v>621</v>
      </c>
      <c r="B522" t="s">
        <v>96</v>
      </c>
      <c r="C522" t="s">
        <v>17</v>
      </c>
      <c r="D522" t="s">
        <v>69</v>
      </c>
      <c r="E522" t="s">
        <v>121</v>
      </c>
      <c r="F522">
        <v>6</v>
      </c>
      <c r="G522">
        <v>20576</v>
      </c>
      <c r="H522" t="s">
        <v>453</v>
      </c>
      <c r="J522">
        <v>5</v>
      </c>
      <c r="K522" t="s">
        <v>54</v>
      </c>
      <c r="L522" t="s">
        <v>55</v>
      </c>
      <c r="M522" t="s">
        <v>50</v>
      </c>
      <c r="N522">
        <v>117283.2</v>
      </c>
      <c r="O522">
        <v>22586.67</v>
      </c>
      <c r="P522" t="s">
        <v>65</v>
      </c>
      <c r="Q522" t="s">
        <v>25</v>
      </c>
    </row>
    <row r="523" spans="1:17" x14ac:dyDescent="0.25">
      <c r="A523">
        <v>622</v>
      </c>
      <c r="B523" t="s">
        <v>61</v>
      </c>
      <c r="C523" t="s">
        <v>27</v>
      </c>
      <c r="D523" t="s">
        <v>69</v>
      </c>
      <c r="E523" t="s">
        <v>121</v>
      </c>
      <c r="F523">
        <v>2</v>
      </c>
      <c r="G523">
        <v>26332</v>
      </c>
      <c r="H523" t="s">
        <v>329</v>
      </c>
      <c r="J523">
        <v>5</v>
      </c>
      <c r="K523" t="s">
        <v>74</v>
      </c>
      <c r="L523" t="s">
        <v>55</v>
      </c>
      <c r="M523" t="s">
        <v>100</v>
      </c>
      <c r="N523">
        <v>50030.8</v>
      </c>
      <c r="O523">
        <v>7171.6</v>
      </c>
      <c r="P523" t="s">
        <v>24</v>
      </c>
      <c r="Q523" t="s">
        <v>75</v>
      </c>
    </row>
    <row r="524" spans="1:17" x14ac:dyDescent="0.25">
      <c r="A524">
        <v>623</v>
      </c>
      <c r="B524" t="s">
        <v>96</v>
      </c>
      <c r="C524" t="s">
        <v>17</v>
      </c>
      <c r="D524" t="s">
        <v>18</v>
      </c>
      <c r="E524" t="s">
        <v>19</v>
      </c>
      <c r="F524">
        <v>6</v>
      </c>
      <c r="G524">
        <v>26935</v>
      </c>
      <c r="H524" t="s">
        <v>383</v>
      </c>
      <c r="J524">
        <v>20</v>
      </c>
      <c r="K524" t="s">
        <v>45</v>
      </c>
      <c r="L524" t="s">
        <v>55</v>
      </c>
      <c r="M524" t="s">
        <v>81</v>
      </c>
      <c r="N524">
        <v>129288</v>
      </c>
      <c r="O524">
        <v>34912.54</v>
      </c>
      <c r="P524" t="s">
        <v>24</v>
      </c>
      <c r="Q524" t="s">
        <v>75</v>
      </c>
    </row>
    <row r="525" spans="1:17" x14ac:dyDescent="0.25">
      <c r="A525">
        <v>624</v>
      </c>
      <c r="B525" t="s">
        <v>67</v>
      </c>
      <c r="C525" t="s">
        <v>35</v>
      </c>
      <c r="D525" t="s">
        <v>76</v>
      </c>
      <c r="E525" t="s">
        <v>77</v>
      </c>
      <c r="F525">
        <v>7</v>
      </c>
      <c r="G525">
        <v>31135</v>
      </c>
      <c r="H525" t="s">
        <v>143</v>
      </c>
      <c r="J525">
        <v>20</v>
      </c>
      <c r="K525" t="s">
        <v>58</v>
      </c>
      <c r="L525" t="s">
        <v>46</v>
      </c>
      <c r="M525" t="s">
        <v>100</v>
      </c>
      <c r="N525">
        <v>174356</v>
      </c>
      <c r="O525">
        <v>14724.38</v>
      </c>
      <c r="P525" t="s">
        <v>40</v>
      </c>
      <c r="Q525" t="s">
        <v>56</v>
      </c>
    </row>
    <row r="526" spans="1:17" x14ac:dyDescent="0.25">
      <c r="A526">
        <v>625</v>
      </c>
      <c r="B526" t="s">
        <v>16</v>
      </c>
      <c r="C526" t="s">
        <v>68</v>
      </c>
      <c r="D526" t="s">
        <v>18</v>
      </c>
      <c r="E526" t="s">
        <v>36</v>
      </c>
      <c r="F526">
        <v>10</v>
      </c>
      <c r="G526">
        <v>74179</v>
      </c>
      <c r="H526" t="s">
        <v>82</v>
      </c>
      <c r="J526">
        <v>15</v>
      </c>
      <c r="K526" t="s">
        <v>54</v>
      </c>
      <c r="L526" t="s">
        <v>31</v>
      </c>
      <c r="M526" t="s">
        <v>50</v>
      </c>
      <c r="N526">
        <v>630521.5</v>
      </c>
      <c r="O526">
        <v>173112.2</v>
      </c>
      <c r="P526" t="s">
        <v>33</v>
      </c>
      <c r="Q526" t="s">
        <v>56</v>
      </c>
    </row>
    <row r="527" spans="1:17" x14ac:dyDescent="0.25">
      <c r="A527">
        <v>626</v>
      </c>
      <c r="B527" t="s">
        <v>115</v>
      </c>
      <c r="C527" t="s">
        <v>27</v>
      </c>
      <c r="D527" t="s">
        <v>28</v>
      </c>
      <c r="E527" t="s">
        <v>48</v>
      </c>
      <c r="F527">
        <v>9</v>
      </c>
      <c r="G527">
        <v>29237</v>
      </c>
      <c r="H527" t="s">
        <v>102</v>
      </c>
      <c r="J527">
        <v>0</v>
      </c>
      <c r="K527" t="s">
        <v>21</v>
      </c>
      <c r="L527" t="s">
        <v>55</v>
      </c>
      <c r="M527" t="s">
        <v>50</v>
      </c>
      <c r="N527">
        <v>263133</v>
      </c>
      <c r="O527">
        <v>77881.53</v>
      </c>
      <c r="P527" t="s">
        <v>24</v>
      </c>
      <c r="Q527" t="s">
        <v>56</v>
      </c>
    </row>
    <row r="528" spans="1:17" x14ac:dyDescent="0.25">
      <c r="A528">
        <v>627</v>
      </c>
      <c r="B528" t="s">
        <v>96</v>
      </c>
      <c r="C528" t="s">
        <v>17</v>
      </c>
      <c r="D528" t="s">
        <v>42</v>
      </c>
      <c r="E528" t="s">
        <v>43</v>
      </c>
      <c r="F528">
        <v>2</v>
      </c>
      <c r="G528">
        <v>13891</v>
      </c>
      <c r="H528" t="s">
        <v>336</v>
      </c>
      <c r="J528">
        <v>20</v>
      </c>
      <c r="K528" t="s">
        <v>38</v>
      </c>
      <c r="L528" t="s">
        <v>31</v>
      </c>
      <c r="M528" t="s">
        <v>64</v>
      </c>
      <c r="N528">
        <v>22225.599999999999</v>
      </c>
      <c r="O528">
        <v>4514.8</v>
      </c>
      <c r="P528" t="s">
        <v>65</v>
      </c>
      <c r="Q528" t="s">
        <v>75</v>
      </c>
    </row>
    <row r="529" spans="1:17" x14ac:dyDescent="0.25">
      <c r="A529">
        <v>628</v>
      </c>
      <c r="B529" t="s">
        <v>107</v>
      </c>
      <c r="C529" t="s">
        <v>17</v>
      </c>
      <c r="D529" t="s">
        <v>28</v>
      </c>
      <c r="E529" t="s">
        <v>48</v>
      </c>
      <c r="F529">
        <v>2</v>
      </c>
      <c r="G529">
        <v>5512</v>
      </c>
      <c r="H529" t="s">
        <v>454</v>
      </c>
      <c r="J529">
        <v>10</v>
      </c>
      <c r="K529" t="s">
        <v>45</v>
      </c>
      <c r="L529" t="s">
        <v>46</v>
      </c>
      <c r="M529" t="s">
        <v>50</v>
      </c>
      <c r="N529">
        <v>9921.6</v>
      </c>
      <c r="O529">
        <v>1359.9</v>
      </c>
      <c r="P529" t="s">
        <v>65</v>
      </c>
      <c r="Q529" t="s">
        <v>25</v>
      </c>
    </row>
    <row r="530" spans="1:17" x14ac:dyDescent="0.25">
      <c r="A530">
        <v>629</v>
      </c>
      <c r="B530" t="s">
        <v>16</v>
      </c>
      <c r="C530" t="s">
        <v>27</v>
      </c>
      <c r="D530" t="s">
        <v>18</v>
      </c>
      <c r="E530" t="s">
        <v>72</v>
      </c>
      <c r="F530">
        <v>1</v>
      </c>
      <c r="G530">
        <v>25047</v>
      </c>
      <c r="H530" t="s">
        <v>406</v>
      </c>
      <c r="J530">
        <v>15</v>
      </c>
      <c r="K530" t="s">
        <v>21</v>
      </c>
      <c r="L530" t="s">
        <v>46</v>
      </c>
      <c r="M530" t="s">
        <v>81</v>
      </c>
      <c r="N530">
        <v>21289.95</v>
      </c>
      <c r="O530">
        <v>2056.6</v>
      </c>
      <c r="P530" t="s">
        <v>33</v>
      </c>
      <c r="Q530" t="s">
        <v>75</v>
      </c>
    </row>
    <row r="531" spans="1:17" x14ac:dyDescent="0.25">
      <c r="A531">
        <v>630</v>
      </c>
      <c r="B531" t="s">
        <v>26</v>
      </c>
      <c r="C531" t="s">
        <v>27</v>
      </c>
      <c r="D531" t="s">
        <v>28</v>
      </c>
      <c r="E531" t="s">
        <v>103</v>
      </c>
      <c r="F531">
        <v>8</v>
      </c>
      <c r="G531">
        <v>17613</v>
      </c>
      <c r="H531" t="s">
        <v>383</v>
      </c>
      <c r="J531">
        <v>10</v>
      </c>
      <c r="K531" t="s">
        <v>74</v>
      </c>
      <c r="L531" t="s">
        <v>22</v>
      </c>
      <c r="M531" t="s">
        <v>64</v>
      </c>
      <c r="N531">
        <v>126813.6</v>
      </c>
      <c r="O531">
        <v>29688.45</v>
      </c>
      <c r="P531" t="s">
        <v>40</v>
      </c>
      <c r="Q531" t="s">
        <v>56</v>
      </c>
    </row>
    <row r="532" spans="1:17" x14ac:dyDescent="0.25">
      <c r="A532">
        <v>631</v>
      </c>
      <c r="B532" t="s">
        <v>84</v>
      </c>
      <c r="C532" t="s">
        <v>68</v>
      </c>
      <c r="D532" t="s">
        <v>69</v>
      </c>
      <c r="E532" t="s">
        <v>70</v>
      </c>
      <c r="F532">
        <v>9</v>
      </c>
      <c r="G532">
        <v>62411</v>
      </c>
      <c r="H532" t="s">
        <v>455</v>
      </c>
      <c r="J532">
        <v>15</v>
      </c>
      <c r="K532" t="s">
        <v>38</v>
      </c>
      <c r="L532" t="s">
        <v>31</v>
      </c>
      <c r="M532" t="s">
        <v>39</v>
      </c>
      <c r="N532">
        <v>477444.15</v>
      </c>
      <c r="O532">
        <v>38712.6</v>
      </c>
      <c r="P532" t="s">
        <v>24</v>
      </c>
      <c r="Q532" t="s">
        <v>56</v>
      </c>
    </row>
    <row r="533" spans="1:17" x14ac:dyDescent="0.25">
      <c r="A533">
        <v>632</v>
      </c>
      <c r="B533" t="s">
        <v>79</v>
      </c>
      <c r="C533" t="s">
        <v>68</v>
      </c>
      <c r="D533" t="s">
        <v>42</v>
      </c>
      <c r="E533" t="s">
        <v>52</v>
      </c>
      <c r="F533">
        <v>4</v>
      </c>
      <c r="G533">
        <v>70570</v>
      </c>
      <c r="H533" t="s">
        <v>340</v>
      </c>
      <c r="J533">
        <v>10</v>
      </c>
      <c r="K533" t="s">
        <v>58</v>
      </c>
      <c r="L533" t="s">
        <v>55</v>
      </c>
      <c r="M533" t="s">
        <v>64</v>
      </c>
      <c r="N533">
        <v>254052</v>
      </c>
      <c r="O533">
        <v>31159.17</v>
      </c>
      <c r="P533" t="s">
        <v>24</v>
      </c>
      <c r="Q533" t="s">
        <v>75</v>
      </c>
    </row>
    <row r="534" spans="1:17" x14ac:dyDescent="0.25">
      <c r="A534">
        <v>633</v>
      </c>
      <c r="B534" t="s">
        <v>16</v>
      </c>
      <c r="C534" t="s">
        <v>17</v>
      </c>
      <c r="D534" t="s">
        <v>18</v>
      </c>
      <c r="E534" t="s">
        <v>62</v>
      </c>
      <c r="F534">
        <v>4</v>
      </c>
      <c r="G534">
        <v>74398</v>
      </c>
      <c r="H534" t="s">
        <v>223</v>
      </c>
      <c r="J534">
        <v>0</v>
      </c>
      <c r="K534" t="s">
        <v>21</v>
      </c>
      <c r="L534" t="s">
        <v>31</v>
      </c>
      <c r="M534" t="s">
        <v>100</v>
      </c>
      <c r="N534">
        <v>297592</v>
      </c>
      <c r="O534">
        <v>46598.8</v>
      </c>
      <c r="P534" t="s">
        <v>40</v>
      </c>
      <c r="Q534" t="s">
        <v>56</v>
      </c>
    </row>
    <row r="535" spans="1:17" x14ac:dyDescent="0.25">
      <c r="A535">
        <v>634</v>
      </c>
      <c r="B535" t="s">
        <v>41</v>
      </c>
      <c r="C535" t="s">
        <v>35</v>
      </c>
      <c r="D535" t="s">
        <v>42</v>
      </c>
      <c r="E535" t="s">
        <v>43</v>
      </c>
      <c r="F535">
        <v>4</v>
      </c>
      <c r="G535">
        <v>74866</v>
      </c>
      <c r="H535" t="s">
        <v>117</v>
      </c>
      <c r="J535">
        <v>5</v>
      </c>
      <c r="K535" t="s">
        <v>45</v>
      </c>
      <c r="L535" t="s">
        <v>55</v>
      </c>
      <c r="M535" t="s">
        <v>39</v>
      </c>
      <c r="N535">
        <v>284490.8</v>
      </c>
      <c r="O535">
        <v>69435.94</v>
      </c>
      <c r="P535" t="s">
        <v>33</v>
      </c>
      <c r="Q535" t="s">
        <v>25</v>
      </c>
    </row>
    <row r="536" spans="1:17" x14ac:dyDescent="0.25">
      <c r="A536">
        <v>635</v>
      </c>
      <c r="B536" t="s">
        <v>94</v>
      </c>
      <c r="C536" t="s">
        <v>17</v>
      </c>
      <c r="D536" t="s">
        <v>76</v>
      </c>
      <c r="E536" t="s">
        <v>92</v>
      </c>
      <c r="F536">
        <v>4</v>
      </c>
      <c r="G536">
        <v>49667</v>
      </c>
      <c r="H536" t="s">
        <v>307</v>
      </c>
      <c r="J536">
        <v>20</v>
      </c>
      <c r="K536" t="s">
        <v>21</v>
      </c>
      <c r="L536" t="s">
        <v>22</v>
      </c>
      <c r="M536" t="s">
        <v>47</v>
      </c>
      <c r="N536">
        <v>158934.39999999999</v>
      </c>
      <c r="O536">
        <v>34336.65</v>
      </c>
      <c r="P536" t="s">
        <v>33</v>
      </c>
      <c r="Q536" t="s">
        <v>75</v>
      </c>
    </row>
    <row r="537" spans="1:17" x14ac:dyDescent="0.25">
      <c r="A537">
        <v>636</v>
      </c>
      <c r="B537" t="s">
        <v>16</v>
      </c>
      <c r="C537" t="s">
        <v>68</v>
      </c>
      <c r="D537" t="s">
        <v>18</v>
      </c>
      <c r="E537" t="s">
        <v>19</v>
      </c>
      <c r="F537">
        <v>9</v>
      </c>
      <c r="G537">
        <v>75150</v>
      </c>
      <c r="H537" t="s">
        <v>456</v>
      </c>
      <c r="J537">
        <v>20</v>
      </c>
      <c r="K537" t="s">
        <v>21</v>
      </c>
      <c r="L537" t="s">
        <v>22</v>
      </c>
      <c r="M537" t="s">
        <v>32</v>
      </c>
      <c r="N537">
        <v>541080</v>
      </c>
      <c r="O537">
        <v>120256.16</v>
      </c>
      <c r="P537" t="s">
        <v>33</v>
      </c>
      <c r="Q537" t="s">
        <v>56</v>
      </c>
    </row>
    <row r="538" spans="1:17" x14ac:dyDescent="0.25">
      <c r="A538">
        <v>637</v>
      </c>
      <c r="B538" t="s">
        <v>91</v>
      </c>
      <c r="C538" t="s">
        <v>27</v>
      </c>
      <c r="D538" t="s">
        <v>69</v>
      </c>
      <c r="E538" t="s">
        <v>121</v>
      </c>
      <c r="F538">
        <v>8</v>
      </c>
      <c r="G538">
        <v>62808</v>
      </c>
      <c r="H538" t="s">
        <v>457</v>
      </c>
      <c r="J538">
        <v>0</v>
      </c>
      <c r="K538" t="s">
        <v>45</v>
      </c>
      <c r="L538" t="s">
        <v>22</v>
      </c>
      <c r="M538" t="s">
        <v>32</v>
      </c>
      <c r="N538">
        <v>502464</v>
      </c>
      <c r="O538">
        <v>47892.88</v>
      </c>
      <c r="P538" t="s">
        <v>33</v>
      </c>
      <c r="Q538" t="s">
        <v>25</v>
      </c>
    </row>
    <row r="539" spans="1:17" x14ac:dyDescent="0.25">
      <c r="A539">
        <v>638</v>
      </c>
      <c r="B539" t="s">
        <v>61</v>
      </c>
      <c r="C539" t="s">
        <v>68</v>
      </c>
      <c r="D539" t="s">
        <v>42</v>
      </c>
      <c r="E539" t="s">
        <v>59</v>
      </c>
      <c r="F539">
        <v>8</v>
      </c>
      <c r="G539">
        <v>3823</v>
      </c>
      <c r="H539" t="s">
        <v>458</v>
      </c>
      <c r="J539">
        <v>20</v>
      </c>
      <c r="K539" t="s">
        <v>45</v>
      </c>
      <c r="L539" t="s">
        <v>46</v>
      </c>
      <c r="M539" t="s">
        <v>32</v>
      </c>
      <c r="N539">
        <v>24467.200000000001</v>
      </c>
      <c r="O539">
        <v>6093.01</v>
      </c>
      <c r="P539" t="s">
        <v>40</v>
      </c>
      <c r="Q539" t="s">
        <v>56</v>
      </c>
    </row>
    <row r="540" spans="1:17" x14ac:dyDescent="0.25">
      <c r="A540">
        <v>639</v>
      </c>
      <c r="B540" t="s">
        <v>84</v>
      </c>
      <c r="C540" t="s">
        <v>27</v>
      </c>
      <c r="D540" t="s">
        <v>18</v>
      </c>
      <c r="E540" t="s">
        <v>72</v>
      </c>
      <c r="F540">
        <v>7</v>
      </c>
      <c r="G540">
        <v>35958</v>
      </c>
      <c r="H540" t="s">
        <v>210</v>
      </c>
      <c r="J540">
        <v>10</v>
      </c>
      <c r="K540" t="s">
        <v>74</v>
      </c>
      <c r="L540" t="s">
        <v>22</v>
      </c>
      <c r="M540" t="s">
        <v>64</v>
      </c>
      <c r="N540">
        <v>226535.4</v>
      </c>
      <c r="O540">
        <v>66309.61</v>
      </c>
      <c r="P540" t="s">
        <v>65</v>
      </c>
      <c r="Q540" t="s">
        <v>25</v>
      </c>
    </row>
    <row r="541" spans="1:17" x14ac:dyDescent="0.25">
      <c r="A541">
        <v>640</v>
      </c>
      <c r="B541" t="s">
        <v>67</v>
      </c>
      <c r="C541" t="s">
        <v>68</v>
      </c>
      <c r="D541" t="s">
        <v>28</v>
      </c>
      <c r="E541" t="s">
        <v>48</v>
      </c>
      <c r="F541">
        <v>8</v>
      </c>
      <c r="G541">
        <v>64566</v>
      </c>
      <c r="H541" t="s">
        <v>459</v>
      </c>
      <c r="J541">
        <v>15</v>
      </c>
      <c r="K541" t="s">
        <v>54</v>
      </c>
      <c r="L541" t="s">
        <v>46</v>
      </c>
      <c r="M541" t="s">
        <v>81</v>
      </c>
      <c r="N541">
        <v>439048.8</v>
      </c>
      <c r="O541">
        <v>128802.76</v>
      </c>
      <c r="P541" t="s">
        <v>40</v>
      </c>
      <c r="Q541" t="s">
        <v>75</v>
      </c>
    </row>
    <row r="542" spans="1:17" x14ac:dyDescent="0.25">
      <c r="A542">
        <v>641</v>
      </c>
      <c r="B542" t="s">
        <v>26</v>
      </c>
      <c r="C542" t="s">
        <v>68</v>
      </c>
      <c r="D542" t="s">
        <v>18</v>
      </c>
      <c r="E542" t="s">
        <v>62</v>
      </c>
      <c r="F542">
        <v>6</v>
      </c>
      <c r="G542">
        <v>32010</v>
      </c>
      <c r="H542" t="s">
        <v>414</v>
      </c>
      <c r="J542">
        <v>5</v>
      </c>
      <c r="K542" t="s">
        <v>38</v>
      </c>
      <c r="L542" t="s">
        <v>31</v>
      </c>
      <c r="M542" t="s">
        <v>32</v>
      </c>
      <c r="N542">
        <v>182457</v>
      </c>
      <c r="O542">
        <v>40635.730000000003</v>
      </c>
      <c r="P542" t="s">
        <v>65</v>
      </c>
      <c r="Q542" t="s">
        <v>56</v>
      </c>
    </row>
    <row r="543" spans="1:17" x14ac:dyDescent="0.25">
      <c r="A543">
        <v>642</v>
      </c>
      <c r="B543" t="s">
        <v>41</v>
      </c>
      <c r="C543" t="s">
        <v>68</v>
      </c>
      <c r="D543" t="s">
        <v>76</v>
      </c>
      <c r="E543" t="s">
        <v>92</v>
      </c>
      <c r="F543">
        <v>2</v>
      </c>
      <c r="G543">
        <v>54957</v>
      </c>
      <c r="H543" t="s">
        <v>304</v>
      </c>
      <c r="J543">
        <v>0</v>
      </c>
      <c r="K543" t="s">
        <v>54</v>
      </c>
      <c r="L543" t="s">
        <v>22</v>
      </c>
      <c r="M543" t="s">
        <v>47</v>
      </c>
      <c r="N543">
        <v>109914</v>
      </c>
      <c r="O543">
        <v>19125.38</v>
      </c>
      <c r="P543" t="s">
        <v>40</v>
      </c>
      <c r="Q543" t="s">
        <v>75</v>
      </c>
    </row>
    <row r="544" spans="1:17" x14ac:dyDescent="0.25">
      <c r="A544">
        <v>643</v>
      </c>
      <c r="B544" t="s">
        <v>94</v>
      </c>
      <c r="C544" t="s">
        <v>35</v>
      </c>
      <c r="D544" t="s">
        <v>76</v>
      </c>
      <c r="E544" t="s">
        <v>101</v>
      </c>
      <c r="F544">
        <v>5</v>
      </c>
      <c r="G544">
        <v>16427</v>
      </c>
      <c r="H544" t="s">
        <v>460</v>
      </c>
      <c r="J544">
        <v>0</v>
      </c>
      <c r="K544" t="s">
        <v>45</v>
      </c>
      <c r="L544" t="s">
        <v>22</v>
      </c>
      <c r="M544" t="s">
        <v>64</v>
      </c>
      <c r="N544">
        <v>82135</v>
      </c>
      <c r="O544">
        <v>24103.75</v>
      </c>
      <c r="P544" t="s">
        <v>40</v>
      </c>
      <c r="Q544" t="s">
        <v>56</v>
      </c>
    </row>
    <row r="545" spans="1:17" x14ac:dyDescent="0.25">
      <c r="A545">
        <v>644</v>
      </c>
      <c r="B545" t="s">
        <v>79</v>
      </c>
      <c r="C545" t="s">
        <v>27</v>
      </c>
      <c r="D545" t="s">
        <v>28</v>
      </c>
      <c r="E545" t="s">
        <v>48</v>
      </c>
      <c r="F545">
        <v>10</v>
      </c>
      <c r="G545">
        <v>59981</v>
      </c>
      <c r="H545" t="s">
        <v>335</v>
      </c>
      <c r="J545">
        <v>20</v>
      </c>
      <c r="K545" t="s">
        <v>54</v>
      </c>
      <c r="L545" t="s">
        <v>46</v>
      </c>
      <c r="M545" t="s">
        <v>23</v>
      </c>
      <c r="N545">
        <v>479848</v>
      </c>
      <c r="O545">
        <v>73811.490000000005</v>
      </c>
      <c r="P545" t="s">
        <v>40</v>
      </c>
      <c r="Q545" t="s">
        <v>25</v>
      </c>
    </row>
    <row r="546" spans="1:17" x14ac:dyDescent="0.25">
      <c r="A546">
        <v>645</v>
      </c>
      <c r="B546" t="s">
        <v>84</v>
      </c>
      <c r="C546" t="s">
        <v>27</v>
      </c>
      <c r="D546" t="s">
        <v>28</v>
      </c>
      <c r="E546" t="s">
        <v>103</v>
      </c>
      <c r="F546">
        <v>7</v>
      </c>
      <c r="G546">
        <v>40597</v>
      </c>
      <c r="H546" t="s">
        <v>295</v>
      </c>
      <c r="J546">
        <v>0</v>
      </c>
      <c r="K546" t="s">
        <v>21</v>
      </c>
      <c r="L546" t="s">
        <v>22</v>
      </c>
      <c r="M546" t="s">
        <v>39</v>
      </c>
      <c r="N546">
        <v>284179</v>
      </c>
      <c r="O546">
        <v>24103.61</v>
      </c>
      <c r="P546" t="s">
        <v>40</v>
      </c>
      <c r="Q546" t="s">
        <v>25</v>
      </c>
    </row>
    <row r="547" spans="1:17" x14ac:dyDescent="0.25">
      <c r="A547">
        <v>646</v>
      </c>
      <c r="B547" t="s">
        <v>107</v>
      </c>
      <c r="C547" t="s">
        <v>17</v>
      </c>
      <c r="D547" t="s">
        <v>18</v>
      </c>
      <c r="E547" t="s">
        <v>62</v>
      </c>
      <c r="F547">
        <v>7</v>
      </c>
      <c r="G547">
        <v>8934</v>
      </c>
      <c r="H547" t="s">
        <v>189</v>
      </c>
      <c r="J547">
        <v>20</v>
      </c>
      <c r="K547" t="s">
        <v>54</v>
      </c>
      <c r="L547" t="s">
        <v>46</v>
      </c>
      <c r="M547" t="s">
        <v>50</v>
      </c>
      <c r="N547">
        <v>50030.400000000001</v>
      </c>
      <c r="O547">
        <v>12446.26</v>
      </c>
      <c r="P547" t="s">
        <v>65</v>
      </c>
      <c r="Q547" t="s">
        <v>56</v>
      </c>
    </row>
    <row r="548" spans="1:17" x14ac:dyDescent="0.25">
      <c r="A548">
        <v>647</v>
      </c>
      <c r="B548" t="s">
        <v>67</v>
      </c>
      <c r="C548" t="s">
        <v>68</v>
      </c>
      <c r="D548" t="s">
        <v>28</v>
      </c>
      <c r="E548" t="s">
        <v>29</v>
      </c>
      <c r="F548">
        <v>2</v>
      </c>
      <c r="G548">
        <v>35545</v>
      </c>
      <c r="H548" t="s">
        <v>461</v>
      </c>
      <c r="J548">
        <v>15</v>
      </c>
      <c r="K548" t="s">
        <v>74</v>
      </c>
      <c r="L548" t="s">
        <v>46</v>
      </c>
      <c r="M548" t="s">
        <v>39</v>
      </c>
      <c r="N548">
        <v>60426.5</v>
      </c>
      <c r="O548">
        <v>8027.62</v>
      </c>
      <c r="P548" t="s">
        <v>65</v>
      </c>
      <c r="Q548" t="s">
        <v>25</v>
      </c>
    </row>
    <row r="549" spans="1:17" x14ac:dyDescent="0.25">
      <c r="A549">
        <v>648</v>
      </c>
      <c r="B549" t="s">
        <v>96</v>
      </c>
      <c r="C549" t="s">
        <v>27</v>
      </c>
      <c r="D549" t="s">
        <v>76</v>
      </c>
      <c r="E549" t="s">
        <v>92</v>
      </c>
      <c r="F549">
        <v>1</v>
      </c>
      <c r="G549">
        <v>36412</v>
      </c>
      <c r="H549" t="s">
        <v>462</v>
      </c>
      <c r="J549">
        <v>15</v>
      </c>
      <c r="K549" t="s">
        <v>58</v>
      </c>
      <c r="L549" t="s">
        <v>31</v>
      </c>
      <c r="M549" t="s">
        <v>32</v>
      </c>
      <c r="N549">
        <v>30950.2</v>
      </c>
      <c r="O549">
        <v>4394.2</v>
      </c>
      <c r="P549" t="s">
        <v>65</v>
      </c>
      <c r="Q549" t="s">
        <v>75</v>
      </c>
    </row>
    <row r="550" spans="1:17" x14ac:dyDescent="0.25">
      <c r="A550">
        <v>649</v>
      </c>
      <c r="B550" t="s">
        <v>51</v>
      </c>
      <c r="C550" t="s">
        <v>17</v>
      </c>
      <c r="D550" t="s">
        <v>28</v>
      </c>
      <c r="E550" t="s">
        <v>48</v>
      </c>
      <c r="F550">
        <v>1</v>
      </c>
      <c r="G550">
        <v>29828</v>
      </c>
      <c r="H550" t="s">
        <v>387</v>
      </c>
      <c r="J550">
        <v>20</v>
      </c>
      <c r="K550" t="s">
        <v>74</v>
      </c>
      <c r="L550" t="s">
        <v>55</v>
      </c>
      <c r="M550" t="s">
        <v>32</v>
      </c>
      <c r="N550">
        <v>23862.400000000001</v>
      </c>
      <c r="O550">
        <v>3435.9</v>
      </c>
      <c r="P550" t="s">
        <v>40</v>
      </c>
      <c r="Q550" t="s">
        <v>75</v>
      </c>
    </row>
    <row r="551" spans="1:17" x14ac:dyDescent="0.25">
      <c r="A551">
        <v>650</v>
      </c>
      <c r="B551" t="s">
        <v>107</v>
      </c>
      <c r="C551" t="s">
        <v>17</v>
      </c>
      <c r="D551" t="s">
        <v>42</v>
      </c>
      <c r="E551" t="s">
        <v>59</v>
      </c>
      <c r="F551">
        <v>5</v>
      </c>
      <c r="G551">
        <v>65196</v>
      </c>
      <c r="H551" t="s">
        <v>463</v>
      </c>
      <c r="J551">
        <v>10</v>
      </c>
      <c r="K551" t="s">
        <v>54</v>
      </c>
      <c r="L551" t="s">
        <v>46</v>
      </c>
      <c r="M551" t="s">
        <v>50</v>
      </c>
      <c r="N551">
        <v>293382</v>
      </c>
      <c r="O551">
        <v>42152.82</v>
      </c>
      <c r="P551" t="s">
        <v>33</v>
      </c>
      <c r="Q551" t="s">
        <v>56</v>
      </c>
    </row>
    <row r="552" spans="1:17" x14ac:dyDescent="0.25">
      <c r="A552">
        <v>651</v>
      </c>
      <c r="B552" t="s">
        <v>26</v>
      </c>
      <c r="C552" t="s">
        <v>27</v>
      </c>
      <c r="D552" t="s">
        <v>28</v>
      </c>
      <c r="E552" t="s">
        <v>48</v>
      </c>
      <c r="F552">
        <v>6</v>
      </c>
      <c r="G552">
        <v>24433</v>
      </c>
      <c r="H552" t="s">
        <v>464</v>
      </c>
      <c r="J552">
        <v>5</v>
      </c>
      <c r="K552" t="s">
        <v>58</v>
      </c>
      <c r="L552" t="s">
        <v>55</v>
      </c>
      <c r="M552" t="s">
        <v>50</v>
      </c>
      <c r="N552">
        <v>139268.1</v>
      </c>
      <c r="O552">
        <v>16730.37</v>
      </c>
      <c r="P552" t="s">
        <v>24</v>
      </c>
      <c r="Q552" t="s">
        <v>75</v>
      </c>
    </row>
    <row r="553" spans="1:17" x14ac:dyDescent="0.25">
      <c r="A553">
        <v>652</v>
      </c>
      <c r="B553" t="s">
        <v>61</v>
      </c>
      <c r="C553" t="s">
        <v>35</v>
      </c>
      <c r="D553" t="s">
        <v>76</v>
      </c>
      <c r="E553" t="s">
        <v>101</v>
      </c>
      <c r="F553">
        <v>6</v>
      </c>
      <c r="G553">
        <v>7138</v>
      </c>
      <c r="H553" t="s">
        <v>465</v>
      </c>
      <c r="J553">
        <v>0</v>
      </c>
      <c r="K553" t="s">
        <v>54</v>
      </c>
      <c r="L553" t="s">
        <v>55</v>
      </c>
      <c r="M553" t="s">
        <v>100</v>
      </c>
      <c r="N553">
        <v>42828</v>
      </c>
      <c r="O553">
        <v>10749.9</v>
      </c>
      <c r="P553" t="s">
        <v>24</v>
      </c>
      <c r="Q553" t="s">
        <v>56</v>
      </c>
    </row>
    <row r="554" spans="1:17" x14ac:dyDescent="0.25">
      <c r="A554">
        <v>653</v>
      </c>
      <c r="B554" t="s">
        <v>61</v>
      </c>
      <c r="C554" t="s">
        <v>68</v>
      </c>
      <c r="D554" t="s">
        <v>69</v>
      </c>
      <c r="E554" t="s">
        <v>121</v>
      </c>
      <c r="F554">
        <v>1</v>
      </c>
      <c r="G554">
        <v>26743</v>
      </c>
      <c r="H554" t="s">
        <v>466</v>
      </c>
      <c r="J554">
        <v>10</v>
      </c>
      <c r="K554" t="s">
        <v>21</v>
      </c>
      <c r="L554" t="s">
        <v>55</v>
      </c>
      <c r="M554" t="s">
        <v>64</v>
      </c>
      <c r="N554">
        <v>24068.7</v>
      </c>
      <c r="O554">
        <v>2385.89</v>
      </c>
      <c r="P554" t="s">
        <v>65</v>
      </c>
      <c r="Q554" t="s">
        <v>56</v>
      </c>
    </row>
    <row r="555" spans="1:17" x14ac:dyDescent="0.25">
      <c r="A555">
        <v>654</v>
      </c>
      <c r="B555" t="s">
        <v>61</v>
      </c>
      <c r="C555" t="s">
        <v>35</v>
      </c>
      <c r="D555" t="s">
        <v>69</v>
      </c>
      <c r="E555" t="s">
        <v>98</v>
      </c>
      <c r="F555">
        <v>4</v>
      </c>
      <c r="G555">
        <v>76516</v>
      </c>
      <c r="H555" t="s">
        <v>99</v>
      </c>
      <c r="J555">
        <v>10</v>
      </c>
      <c r="K555" t="s">
        <v>45</v>
      </c>
      <c r="L555" t="s">
        <v>22</v>
      </c>
      <c r="M555" t="s">
        <v>23</v>
      </c>
      <c r="N555">
        <v>275457.59999999998</v>
      </c>
      <c r="O555">
        <v>41057.370000000003</v>
      </c>
      <c r="P555" t="s">
        <v>33</v>
      </c>
      <c r="Q555" t="s">
        <v>75</v>
      </c>
    </row>
    <row r="556" spans="1:17" x14ac:dyDescent="0.25">
      <c r="A556">
        <v>655</v>
      </c>
      <c r="B556" t="s">
        <v>94</v>
      </c>
      <c r="C556" t="s">
        <v>27</v>
      </c>
      <c r="D556" t="s">
        <v>69</v>
      </c>
      <c r="E556" t="s">
        <v>70</v>
      </c>
      <c r="F556">
        <v>2</v>
      </c>
      <c r="G556">
        <v>9291</v>
      </c>
      <c r="H556" t="s">
        <v>305</v>
      </c>
      <c r="J556">
        <v>15</v>
      </c>
      <c r="K556" t="s">
        <v>54</v>
      </c>
      <c r="L556" t="s">
        <v>55</v>
      </c>
      <c r="M556" t="s">
        <v>23</v>
      </c>
      <c r="N556">
        <v>15794.7</v>
      </c>
      <c r="O556">
        <v>1606.36</v>
      </c>
      <c r="P556" t="s">
        <v>65</v>
      </c>
      <c r="Q556" t="s">
        <v>25</v>
      </c>
    </row>
    <row r="557" spans="1:17" x14ac:dyDescent="0.25">
      <c r="A557">
        <v>656</v>
      </c>
      <c r="B557" t="s">
        <v>109</v>
      </c>
      <c r="C557" t="s">
        <v>27</v>
      </c>
      <c r="D557" t="s">
        <v>18</v>
      </c>
      <c r="E557" t="s">
        <v>72</v>
      </c>
      <c r="F557">
        <v>5</v>
      </c>
      <c r="G557">
        <v>67531</v>
      </c>
      <c r="H557" t="s">
        <v>195</v>
      </c>
      <c r="J557">
        <v>15</v>
      </c>
      <c r="K557" t="s">
        <v>58</v>
      </c>
      <c r="L557" t="s">
        <v>31</v>
      </c>
      <c r="M557" t="s">
        <v>32</v>
      </c>
      <c r="N557">
        <v>287006.75</v>
      </c>
      <c r="O557">
        <v>56015.58</v>
      </c>
      <c r="P557" t="s">
        <v>24</v>
      </c>
      <c r="Q557" t="s">
        <v>25</v>
      </c>
    </row>
    <row r="558" spans="1:17" x14ac:dyDescent="0.25">
      <c r="A558">
        <v>657</v>
      </c>
      <c r="B558" t="s">
        <v>109</v>
      </c>
      <c r="C558" t="s">
        <v>27</v>
      </c>
      <c r="D558" t="s">
        <v>69</v>
      </c>
      <c r="E558" t="s">
        <v>70</v>
      </c>
      <c r="F558">
        <v>1</v>
      </c>
      <c r="G558">
        <v>22980</v>
      </c>
      <c r="H558" t="s">
        <v>467</v>
      </c>
      <c r="J558">
        <v>20</v>
      </c>
      <c r="K558" t="s">
        <v>58</v>
      </c>
      <c r="L558" t="s">
        <v>31</v>
      </c>
      <c r="M558" t="s">
        <v>23</v>
      </c>
      <c r="N558">
        <v>18384</v>
      </c>
      <c r="O558">
        <v>1945.9</v>
      </c>
      <c r="P558" t="s">
        <v>33</v>
      </c>
      <c r="Q558" t="s">
        <v>56</v>
      </c>
    </row>
    <row r="559" spans="1:17" x14ac:dyDescent="0.25">
      <c r="A559">
        <v>658</v>
      </c>
      <c r="B559" t="s">
        <v>79</v>
      </c>
      <c r="C559" t="s">
        <v>68</v>
      </c>
      <c r="D559" t="s">
        <v>42</v>
      </c>
      <c r="E559" t="s">
        <v>59</v>
      </c>
      <c r="F559">
        <v>6</v>
      </c>
      <c r="G559">
        <v>66287</v>
      </c>
      <c r="H559" t="s">
        <v>468</v>
      </c>
      <c r="J559">
        <v>5</v>
      </c>
      <c r="K559" t="s">
        <v>38</v>
      </c>
      <c r="L559" t="s">
        <v>55</v>
      </c>
      <c r="M559" t="s">
        <v>39</v>
      </c>
      <c r="N559">
        <v>377835.9</v>
      </c>
      <c r="O559">
        <v>99264.19</v>
      </c>
      <c r="P559" t="s">
        <v>24</v>
      </c>
      <c r="Q559" t="s">
        <v>75</v>
      </c>
    </row>
    <row r="560" spans="1:17" x14ac:dyDescent="0.25">
      <c r="A560">
        <v>659</v>
      </c>
      <c r="B560" t="s">
        <v>26</v>
      </c>
      <c r="C560" t="s">
        <v>17</v>
      </c>
      <c r="D560" t="s">
        <v>76</v>
      </c>
      <c r="E560" t="s">
        <v>101</v>
      </c>
      <c r="F560">
        <v>7</v>
      </c>
      <c r="G560">
        <v>22453</v>
      </c>
      <c r="H560" t="s">
        <v>297</v>
      </c>
      <c r="J560">
        <v>20</v>
      </c>
      <c r="K560" t="s">
        <v>58</v>
      </c>
      <c r="L560" t="s">
        <v>55</v>
      </c>
      <c r="M560" t="s">
        <v>23</v>
      </c>
      <c r="N560">
        <v>125736.8</v>
      </c>
      <c r="O560">
        <v>34082.370000000003</v>
      </c>
      <c r="P560" t="s">
        <v>65</v>
      </c>
      <c r="Q560" t="s">
        <v>25</v>
      </c>
    </row>
    <row r="561" spans="1:17" x14ac:dyDescent="0.25">
      <c r="A561">
        <v>660</v>
      </c>
      <c r="B561" t="s">
        <v>107</v>
      </c>
      <c r="C561" t="s">
        <v>27</v>
      </c>
      <c r="D561" t="s">
        <v>76</v>
      </c>
      <c r="E561" t="s">
        <v>92</v>
      </c>
      <c r="F561">
        <v>8</v>
      </c>
      <c r="G561">
        <v>77850</v>
      </c>
      <c r="H561" t="s">
        <v>363</v>
      </c>
      <c r="J561">
        <v>15</v>
      </c>
      <c r="K561" t="s">
        <v>74</v>
      </c>
      <c r="L561" t="s">
        <v>55</v>
      </c>
      <c r="M561" t="s">
        <v>64</v>
      </c>
      <c r="N561">
        <v>529380</v>
      </c>
      <c r="O561">
        <v>85144.79</v>
      </c>
      <c r="P561" t="s">
        <v>40</v>
      </c>
      <c r="Q561" t="s">
        <v>75</v>
      </c>
    </row>
    <row r="562" spans="1:17" x14ac:dyDescent="0.25">
      <c r="A562">
        <v>661</v>
      </c>
      <c r="B562" t="s">
        <v>16</v>
      </c>
      <c r="C562" t="s">
        <v>17</v>
      </c>
      <c r="D562" t="s">
        <v>18</v>
      </c>
      <c r="E562" t="s">
        <v>62</v>
      </c>
      <c r="F562">
        <v>6</v>
      </c>
      <c r="G562">
        <v>78928</v>
      </c>
      <c r="H562" t="s">
        <v>469</v>
      </c>
      <c r="J562">
        <v>15</v>
      </c>
      <c r="K562" t="s">
        <v>74</v>
      </c>
      <c r="L562" t="s">
        <v>22</v>
      </c>
      <c r="M562" t="s">
        <v>100</v>
      </c>
      <c r="N562">
        <v>402532.8</v>
      </c>
      <c r="O562">
        <v>78427.259999999995</v>
      </c>
      <c r="P562" t="s">
        <v>40</v>
      </c>
      <c r="Q562" t="s">
        <v>56</v>
      </c>
    </row>
    <row r="563" spans="1:17" x14ac:dyDescent="0.25">
      <c r="A563">
        <v>662</v>
      </c>
      <c r="B563" t="s">
        <v>96</v>
      </c>
      <c r="C563" t="s">
        <v>27</v>
      </c>
      <c r="D563" t="s">
        <v>18</v>
      </c>
      <c r="E563" t="s">
        <v>36</v>
      </c>
      <c r="F563">
        <v>10</v>
      </c>
      <c r="G563">
        <v>39655</v>
      </c>
      <c r="H563" t="s">
        <v>244</v>
      </c>
      <c r="J563">
        <v>20</v>
      </c>
      <c r="K563" t="s">
        <v>54</v>
      </c>
      <c r="L563" t="s">
        <v>22</v>
      </c>
      <c r="M563" t="s">
        <v>32</v>
      </c>
      <c r="N563">
        <v>317240</v>
      </c>
      <c r="O563">
        <v>78488.5</v>
      </c>
      <c r="P563" t="s">
        <v>33</v>
      </c>
      <c r="Q563" t="s">
        <v>25</v>
      </c>
    </row>
    <row r="564" spans="1:17" x14ac:dyDescent="0.25">
      <c r="A564">
        <v>663</v>
      </c>
      <c r="B564" t="s">
        <v>107</v>
      </c>
      <c r="C564" t="s">
        <v>27</v>
      </c>
      <c r="D564" t="s">
        <v>18</v>
      </c>
      <c r="E564" t="s">
        <v>19</v>
      </c>
      <c r="F564">
        <v>5</v>
      </c>
      <c r="G564">
        <v>12282</v>
      </c>
      <c r="H564" t="s">
        <v>340</v>
      </c>
      <c r="J564">
        <v>0</v>
      </c>
      <c r="K564" t="s">
        <v>58</v>
      </c>
      <c r="L564" t="s">
        <v>22</v>
      </c>
      <c r="M564" t="s">
        <v>100</v>
      </c>
      <c r="N564">
        <v>61410</v>
      </c>
      <c r="O564">
        <v>9139.81</v>
      </c>
      <c r="P564" t="s">
        <v>33</v>
      </c>
      <c r="Q564" t="s">
        <v>75</v>
      </c>
    </row>
    <row r="565" spans="1:17" x14ac:dyDescent="0.25">
      <c r="A565">
        <v>664</v>
      </c>
      <c r="B565" t="s">
        <v>107</v>
      </c>
      <c r="C565" t="s">
        <v>17</v>
      </c>
      <c r="D565" t="s">
        <v>69</v>
      </c>
      <c r="E565" t="s">
        <v>70</v>
      </c>
      <c r="F565">
        <v>10</v>
      </c>
      <c r="G565">
        <v>21602</v>
      </c>
      <c r="H565" t="s">
        <v>470</v>
      </c>
      <c r="J565">
        <v>5</v>
      </c>
      <c r="K565" t="s">
        <v>45</v>
      </c>
      <c r="L565" t="s">
        <v>46</v>
      </c>
      <c r="M565" t="s">
        <v>50</v>
      </c>
      <c r="N565">
        <v>205219</v>
      </c>
      <c r="O565">
        <v>54889.3</v>
      </c>
      <c r="P565" t="s">
        <v>65</v>
      </c>
      <c r="Q565" t="s">
        <v>25</v>
      </c>
    </row>
    <row r="566" spans="1:17" x14ac:dyDescent="0.25">
      <c r="A566">
        <v>665</v>
      </c>
      <c r="B566" t="s">
        <v>91</v>
      </c>
      <c r="C566" t="s">
        <v>27</v>
      </c>
      <c r="D566" t="s">
        <v>69</v>
      </c>
      <c r="E566" t="s">
        <v>70</v>
      </c>
      <c r="F566">
        <v>4</v>
      </c>
      <c r="G566">
        <v>72847</v>
      </c>
      <c r="H566" t="s">
        <v>471</v>
      </c>
      <c r="J566">
        <v>0</v>
      </c>
      <c r="K566" t="s">
        <v>58</v>
      </c>
      <c r="L566" t="s">
        <v>46</v>
      </c>
      <c r="M566" t="s">
        <v>47</v>
      </c>
      <c r="N566">
        <v>291388</v>
      </c>
      <c r="O566">
        <v>69967.899999999994</v>
      </c>
      <c r="P566" t="s">
        <v>40</v>
      </c>
      <c r="Q566" t="s">
        <v>56</v>
      </c>
    </row>
    <row r="567" spans="1:17" x14ac:dyDescent="0.25">
      <c r="A567">
        <v>666</v>
      </c>
      <c r="B567" t="s">
        <v>51</v>
      </c>
      <c r="C567" t="s">
        <v>17</v>
      </c>
      <c r="D567" t="s">
        <v>42</v>
      </c>
      <c r="E567" t="s">
        <v>52</v>
      </c>
      <c r="F567">
        <v>1</v>
      </c>
      <c r="G567">
        <v>68851</v>
      </c>
      <c r="H567" t="s">
        <v>472</v>
      </c>
      <c r="J567">
        <v>0</v>
      </c>
      <c r="K567" t="s">
        <v>54</v>
      </c>
      <c r="L567" t="s">
        <v>31</v>
      </c>
      <c r="M567" t="s">
        <v>32</v>
      </c>
      <c r="N567">
        <v>68851</v>
      </c>
      <c r="O567">
        <v>8679.6200000000008</v>
      </c>
      <c r="P567" t="s">
        <v>65</v>
      </c>
      <c r="Q567" t="s">
        <v>25</v>
      </c>
    </row>
    <row r="568" spans="1:17" x14ac:dyDescent="0.25">
      <c r="A568">
        <v>667</v>
      </c>
      <c r="B568" t="s">
        <v>79</v>
      </c>
      <c r="C568" t="s">
        <v>17</v>
      </c>
      <c r="D568" t="s">
        <v>42</v>
      </c>
      <c r="E568" t="s">
        <v>43</v>
      </c>
      <c r="F568">
        <v>5</v>
      </c>
      <c r="G568">
        <v>75074</v>
      </c>
      <c r="H568" t="s">
        <v>473</v>
      </c>
      <c r="J568">
        <v>10</v>
      </c>
      <c r="K568" t="s">
        <v>45</v>
      </c>
      <c r="L568" t="s">
        <v>46</v>
      </c>
      <c r="M568" t="s">
        <v>64</v>
      </c>
      <c r="N568">
        <v>337833</v>
      </c>
      <c r="O568">
        <v>59256.29</v>
      </c>
      <c r="P568" t="s">
        <v>33</v>
      </c>
      <c r="Q568" t="s">
        <v>75</v>
      </c>
    </row>
    <row r="569" spans="1:17" x14ac:dyDescent="0.25">
      <c r="A569">
        <v>668</v>
      </c>
      <c r="B569" t="s">
        <v>61</v>
      </c>
      <c r="C569" t="s">
        <v>27</v>
      </c>
      <c r="D569" t="s">
        <v>69</v>
      </c>
      <c r="E569" t="s">
        <v>98</v>
      </c>
      <c r="F569">
        <v>8</v>
      </c>
      <c r="G569">
        <v>33999</v>
      </c>
      <c r="H569" t="s">
        <v>405</v>
      </c>
      <c r="J569">
        <v>0</v>
      </c>
      <c r="K569" t="s">
        <v>38</v>
      </c>
      <c r="L569" t="s">
        <v>46</v>
      </c>
      <c r="M569" t="s">
        <v>23</v>
      </c>
      <c r="N569">
        <v>271992</v>
      </c>
      <c r="O569">
        <v>33788.18</v>
      </c>
      <c r="P569" t="s">
        <v>65</v>
      </c>
      <c r="Q569" t="s">
        <v>25</v>
      </c>
    </row>
    <row r="570" spans="1:17" x14ac:dyDescent="0.25">
      <c r="A570">
        <v>669</v>
      </c>
      <c r="B570" t="s">
        <v>94</v>
      </c>
      <c r="C570" t="s">
        <v>35</v>
      </c>
      <c r="D570" t="s">
        <v>42</v>
      </c>
      <c r="E570" t="s">
        <v>59</v>
      </c>
      <c r="F570">
        <v>5</v>
      </c>
      <c r="G570">
        <v>67298</v>
      </c>
      <c r="H570" t="s">
        <v>239</v>
      </c>
      <c r="J570">
        <v>10</v>
      </c>
      <c r="K570" t="s">
        <v>45</v>
      </c>
      <c r="L570" t="s">
        <v>55</v>
      </c>
      <c r="M570" t="s">
        <v>64</v>
      </c>
      <c r="N570">
        <v>302841</v>
      </c>
      <c r="O570">
        <v>74815.199999999997</v>
      </c>
      <c r="P570" t="s">
        <v>33</v>
      </c>
      <c r="Q570" t="s">
        <v>56</v>
      </c>
    </row>
    <row r="571" spans="1:17" x14ac:dyDescent="0.25">
      <c r="A571">
        <v>670</v>
      </c>
      <c r="B571" t="s">
        <v>84</v>
      </c>
      <c r="C571" t="s">
        <v>27</v>
      </c>
      <c r="D571" t="s">
        <v>42</v>
      </c>
      <c r="E571" t="s">
        <v>43</v>
      </c>
      <c r="F571">
        <v>10</v>
      </c>
      <c r="G571">
        <v>42136</v>
      </c>
      <c r="H571" t="s">
        <v>308</v>
      </c>
      <c r="J571">
        <v>5</v>
      </c>
      <c r="K571" t="s">
        <v>58</v>
      </c>
      <c r="L571" t="s">
        <v>46</v>
      </c>
      <c r="M571" t="s">
        <v>50</v>
      </c>
      <c r="N571">
        <v>400292</v>
      </c>
      <c r="O571">
        <v>61065.2</v>
      </c>
      <c r="P571" t="s">
        <v>24</v>
      </c>
      <c r="Q571" t="s">
        <v>56</v>
      </c>
    </row>
    <row r="572" spans="1:17" x14ac:dyDescent="0.25">
      <c r="A572">
        <v>671</v>
      </c>
      <c r="B572" t="s">
        <v>115</v>
      </c>
      <c r="C572" t="s">
        <v>27</v>
      </c>
      <c r="D572" t="s">
        <v>69</v>
      </c>
      <c r="E572" t="s">
        <v>121</v>
      </c>
      <c r="F572">
        <v>3</v>
      </c>
      <c r="G572">
        <v>68246</v>
      </c>
      <c r="H572" t="s">
        <v>474</v>
      </c>
      <c r="J572">
        <v>10</v>
      </c>
      <c r="K572" t="s">
        <v>38</v>
      </c>
      <c r="L572" t="s">
        <v>31</v>
      </c>
      <c r="M572" t="s">
        <v>47</v>
      </c>
      <c r="N572">
        <v>184264.2</v>
      </c>
      <c r="O572">
        <v>54263.74</v>
      </c>
      <c r="P572" t="s">
        <v>24</v>
      </c>
      <c r="Q572" t="s">
        <v>75</v>
      </c>
    </row>
    <row r="573" spans="1:17" x14ac:dyDescent="0.25">
      <c r="A573">
        <v>672</v>
      </c>
      <c r="B573" t="s">
        <v>91</v>
      </c>
      <c r="C573" t="s">
        <v>35</v>
      </c>
      <c r="D573" t="s">
        <v>28</v>
      </c>
      <c r="E573" t="s">
        <v>103</v>
      </c>
      <c r="F573">
        <v>10</v>
      </c>
      <c r="G573">
        <v>17432</v>
      </c>
      <c r="H573" t="s">
        <v>415</v>
      </c>
      <c r="J573">
        <v>10</v>
      </c>
      <c r="K573" t="s">
        <v>45</v>
      </c>
      <c r="L573" t="s">
        <v>55</v>
      </c>
      <c r="M573" t="s">
        <v>81</v>
      </c>
      <c r="N573">
        <v>156888</v>
      </c>
      <c r="O573">
        <v>19313.57</v>
      </c>
      <c r="P573" t="s">
        <v>33</v>
      </c>
      <c r="Q573" t="s">
        <v>56</v>
      </c>
    </row>
    <row r="574" spans="1:17" x14ac:dyDescent="0.25">
      <c r="A574">
        <v>673</v>
      </c>
      <c r="B574" t="s">
        <v>115</v>
      </c>
      <c r="C574" t="s">
        <v>35</v>
      </c>
      <c r="D574" t="s">
        <v>42</v>
      </c>
      <c r="E574" t="s">
        <v>43</v>
      </c>
      <c r="F574">
        <v>2</v>
      </c>
      <c r="G574">
        <v>32700</v>
      </c>
      <c r="H574" t="s">
        <v>475</v>
      </c>
      <c r="J574">
        <v>5</v>
      </c>
      <c r="K574" t="s">
        <v>21</v>
      </c>
      <c r="L574" t="s">
        <v>31</v>
      </c>
      <c r="M574" t="s">
        <v>50</v>
      </c>
      <c r="N574">
        <v>62130</v>
      </c>
      <c r="O574">
        <v>9095.4599999999991</v>
      </c>
      <c r="P574" t="s">
        <v>40</v>
      </c>
      <c r="Q574" t="s">
        <v>25</v>
      </c>
    </row>
    <row r="575" spans="1:17" x14ac:dyDescent="0.25">
      <c r="A575">
        <v>674</v>
      </c>
      <c r="B575" t="s">
        <v>67</v>
      </c>
      <c r="C575" t="s">
        <v>17</v>
      </c>
      <c r="D575" t="s">
        <v>18</v>
      </c>
      <c r="E575" t="s">
        <v>36</v>
      </c>
      <c r="F575">
        <v>2</v>
      </c>
      <c r="G575">
        <v>46697</v>
      </c>
      <c r="H575" t="s">
        <v>476</v>
      </c>
      <c r="J575">
        <v>5</v>
      </c>
      <c r="K575" t="s">
        <v>21</v>
      </c>
      <c r="L575" t="s">
        <v>22</v>
      </c>
      <c r="M575" t="s">
        <v>50</v>
      </c>
      <c r="N575">
        <v>88724.3</v>
      </c>
      <c r="O575">
        <v>10302.65</v>
      </c>
      <c r="P575" t="s">
        <v>33</v>
      </c>
      <c r="Q575" t="s">
        <v>75</v>
      </c>
    </row>
    <row r="576" spans="1:17" x14ac:dyDescent="0.25">
      <c r="A576">
        <v>675</v>
      </c>
      <c r="B576" t="s">
        <v>115</v>
      </c>
      <c r="C576" t="s">
        <v>68</v>
      </c>
      <c r="D576" t="s">
        <v>18</v>
      </c>
      <c r="E576" t="s">
        <v>36</v>
      </c>
      <c r="F576">
        <v>7</v>
      </c>
      <c r="G576">
        <v>73918</v>
      </c>
      <c r="H576" t="s">
        <v>149</v>
      </c>
      <c r="J576">
        <v>5</v>
      </c>
      <c r="K576" t="s">
        <v>58</v>
      </c>
      <c r="L576" t="s">
        <v>46</v>
      </c>
      <c r="M576" t="s">
        <v>47</v>
      </c>
      <c r="N576">
        <v>491554.7</v>
      </c>
      <c r="O576">
        <v>107003.21</v>
      </c>
      <c r="P576" t="s">
        <v>65</v>
      </c>
      <c r="Q576" t="s">
        <v>25</v>
      </c>
    </row>
    <row r="577" spans="1:17" x14ac:dyDescent="0.25">
      <c r="A577">
        <v>676</v>
      </c>
      <c r="B577" t="s">
        <v>26</v>
      </c>
      <c r="C577" t="s">
        <v>68</v>
      </c>
      <c r="D577" t="s">
        <v>18</v>
      </c>
      <c r="E577" t="s">
        <v>36</v>
      </c>
      <c r="F577">
        <v>5</v>
      </c>
      <c r="G577">
        <v>49135</v>
      </c>
      <c r="H577" t="s">
        <v>102</v>
      </c>
      <c r="J577">
        <v>5</v>
      </c>
      <c r="K577" t="s">
        <v>58</v>
      </c>
      <c r="L577" t="s">
        <v>31</v>
      </c>
      <c r="M577" t="s">
        <v>81</v>
      </c>
      <c r="N577">
        <v>233391.25</v>
      </c>
      <c r="O577">
        <v>68616.710000000006</v>
      </c>
      <c r="P577" t="s">
        <v>33</v>
      </c>
      <c r="Q577" t="s">
        <v>25</v>
      </c>
    </row>
    <row r="578" spans="1:17" x14ac:dyDescent="0.25">
      <c r="A578">
        <v>677</v>
      </c>
      <c r="B578" t="s">
        <v>96</v>
      </c>
      <c r="C578" t="s">
        <v>68</v>
      </c>
      <c r="D578" t="s">
        <v>28</v>
      </c>
      <c r="E578" t="s">
        <v>103</v>
      </c>
      <c r="F578">
        <v>8</v>
      </c>
      <c r="G578">
        <v>13091</v>
      </c>
      <c r="H578" t="s">
        <v>322</v>
      </c>
      <c r="J578">
        <v>5</v>
      </c>
      <c r="K578" t="s">
        <v>38</v>
      </c>
      <c r="L578" t="s">
        <v>46</v>
      </c>
      <c r="M578" t="s">
        <v>39</v>
      </c>
      <c r="N578">
        <v>99491.6</v>
      </c>
      <c r="O578">
        <v>18765.39</v>
      </c>
      <c r="P578" t="s">
        <v>40</v>
      </c>
      <c r="Q578" t="s">
        <v>56</v>
      </c>
    </row>
    <row r="579" spans="1:17" x14ac:dyDescent="0.25">
      <c r="A579">
        <v>678</v>
      </c>
      <c r="B579" t="s">
        <v>67</v>
      </c>
      <c r="C579" t="s">
        <v>68</v>
      </c>
      <c r="D579" t="s">
        <v>28</v>
      </c>
      <c r="E579" t="s">
        <v>29</v>
      </c>
      <c r="F579">
        <v>2</v>
      </c>
      <c r="G579">
        <v>74374</v>
      </c>
      <c r="H579" t="s">
        <v>377</v>
      </c>
      <c r="J579">
        <v>10</v>
      </c>
      <c r="K579" t="s">
        <v>21</v>
      </c>
      <c r="L579" t="s">
        <v>31</v>
      </c>
      <c r="M579" t="s">
        <v>100</v>
      </c>
      <c r="N579">
        <v>133873.20000000001</v>
      </c>
      <c r="O579">
        <v>35578.550000000003</v>
      </c>
      <c r="P579" t="s">
        <v>65</v>
      </c>
      <c r="Q579" t="s">
        <v>25</v>
      </c>
    </row>
    <row r="580" spans="1:17" x14ac:dyDescent="0.25">
      <c r="A580">
        <v>679</v>
      </c>
      <c r="B580" t="s">
        <v>34</v>
      </c>
      <c r="C580" t="s">
        <v>27</v>
      </c>
      <c r="D580" t="s">
        <v>69</v>
      </c>
      <c r="E580" t="s">
        <v>121</v>
      </c>
      <c r="F580">
        <v>6</v>
      </c>
      <c r="G580">
        <v>17390</v>
      </c>
      <c r="H580" t="s">
        <v>477</v>
      </c>
      <c r="J580">
        <v>0</v>
      </c>
      <c r="K580" t="s">
        <v>38</v>
      </c>
      <c r="L580" t="s">
        <v>22</v>
      </c>
      <c r="M580" t="s">
        <v>100</v>
      </c>
      <c r="N580">
        <v>104340</v>
      </c>
      <c r="O580">
        <v>26979.99</v>
      </c>
      <c r="P580" t="s">
        <v>40</v>
      </c>
      <c r="Q580" t="s">
        <v>25</v>
      </c>
    </row>
    <row r="581" spans="1:17" x14ac:dyDescent="0.25">
      <c r="A581">
        <v>680</v>
      </c>
      <c r="B581" t="s">
        <v>79</v>
      </c>
      <c r="C581" t="s">
        <v>68</v>
      </c>
      <c r="D581" t="s">
        <v>42</v>
      </c>
      <c r="E581" t="s">
        <v>59</v>
      </c>
      <c r="F581">
        <v>9</v>
      </c>
      <c r="G581">
        <v>50183</v>
      </c>
      <c r="H581" t="s">
        <v>340</v>
      </c>
      <c r="J581">
        <v>15</v>
      </c>
      <c r="K581" t="s">
        <v>45</v>
      </c>
      <c r="L581" t="s">
        <v>46</v>
      </c>
      <c r="M581" t="s">
        <v>50</v>
      </c>
      <c r="N581">
        <v>383899.95</v>
      </c>
      <c r="O581">
        <v>55098.67</v>
      </c>
      <c r="P581" t="s">
        <v>24</v>
      </c>
      <c r="Q581" t="s">
        <v>25</v>
      </c>
    </row>
    <row r="582" spans="1:17" x14ac:dyDescent="0.25">
      <c r="A582">
        <v>681</v>
      </c>
      <c r="B582" t="s">
        <v>41</v>
      </c>
      <c r="C582" t="s">
        <v>17</v>
      </c>
      <c r="D582" t="s">
        <v>42</v>
      </c>
      <c r="E582" t="s">
        <v>43</v>
      </c>
      <c r="F582">
        <v>2</v>
      </c>
      <c r="G582">
        <v>52139</v>
      </c>
      <c r="H582" t="s">
        <v>169</v>
      </c>
      <c r="J582">
        <v>0</v>
      </c>
      <c r="K582" t="s">
        <v>58</v>
      </c>
      <c r="L582" t="s">
        <v>31</v>
      </c>
      <c r="M582" t="s">
        <v>39</v>
      </c>
      <c r="N582">
        <v>104278</v>
      </c>
      <c r="O582">
        <v>13021.79</v>
      </c>
      <c r="P582" t="s">
        <v>65</v>
      </c>
      <c r="Q582" t="s">
        <v>56</v>
      </c>
    </row>
    <row r="583" spans="1:17" x14ac:dyDescent="0.25">
      <c r="A583">
        <v>682</v>
      </c>
      <c r="B583" t="s">
        <v>115</v>
      </c>
      <c r="C583" t="s">
        <v>17</v>
      </c>
      <c r="D583" t="s">
        <v>42</v>
      </c>
      <c r="E583" t="s">
        <v>43</v>
      </c>
      <c r="F583">
        <v>10</v>
      </c>
      <c r="G583">
        <v>3751</v>
      </c>
      <c r="H583" t="s">
        <v>478</v>
      </c>
      <c r="J583">
        <v>0</v>
      </c>
      <c r="K583" t="s">
        <v>58</v>
      </c>
      <c r="L583" t="s">
        <v>46</v>
      </c>
      <c r="M583" t="s">
        <v>81</v>
      </c>
      <c r="N583">
        <v>37510</v>
      </c>
      <c r="O583">
        <v>6673.49</v>
      </c>
      <c r="P583" t="s">
        <v>65</v>
      </c>
      <c r="Q583" t="s">
        <v>25</v>
      </c>
    </row>
    <row r="584" spans="1:17" x14ac:dyDescent="0.25">
      <c r="A584">
        <v>683</v>
      </c>
      <c r="B584" t="s">
        <v>34</v>
      </c>
      <c r="C584" t="s">
        <v>27</v>
      </c>
      <c r="D584" t="s">
        <v>76</v>
      </c>
      <c r="E584" t="s">
        <v>77</v>
      </c>
      <c r="F584">
        <v>1</v>
      </c>
      <c r="G584">
        <v>23947</v>
      </c>
      <c r="H584" t="s">
        <v>479</v>
      </c>
      <c r="J584">
        <v>0</v>
      </c>
      <c r="K584" t="s">
        <v>74</v>
      </c>
      <c r="L584" t="s">
        <v>22</v>
      </c>
      <c r="M584" t="s">
        <v>39</v>
      </c>
      <c r="N584">
        <v>23947</v>
      </c>
      <c r="O584">
        <v>3134.73</v>
      </c>
      <c r="P584" t="s">
        <v>65</v>
      </c>
      <c r="Q584" t="s">
        <v>56</v>
      </c>
    </row>
    <row r="585" spans="1:17" x14ac:dyDescent="0.25">
      <c r="A585">
        <v>684</v>
      </c>
      <c r="B585" t="s">
        <v>61</v>
      </c>
      <c r="C585" t="s">
        <v>35</v>
      </c>
      <c r="D585" t="s">
        <v>18</v>
      </c>
      <c r="E585" t="s">
        <v>72</v>
      </c>
      <c r="F585">
        <v>4</v>
      </c>
      <c r="G585">
        <v>53404</v>
      </c>
      <c r="H585" t="s">
        <v>300</v>
      </c>
      <c r="J585">
        <v>5</v>
      </c>
      <c r="K585" t="s">
        <v>21</v>
      </c>
      <c r="L585" t="s">
        <v>31</v>
      </c>
      <c r="M585" t="s">
        <v>50</v>
      </c>
      <c r="N585">
        <v>202935.2</v>
      </c>
      <c r="O585">
        <v>27343.21</v>
      </c>
      <c r="P585" t="s">
        <v>40</v>
      </c>
      <c r="Q585" t="s">
        <v>75</v>
      </c>
    </row>
    <row r="586" spans="1:17" x14ac:dyDescent="0.25">
      <c r="A586">
        <v>685</v>
      </c>
      <c r="B586" t="s">
        <v>96</v>
      </c>
      <c r="C586" t="s">
        <v>27</v>
      </c>
      <c r="D586" t="s">
        <v>42</v>
      </c>
      <c r="E586" t="s">
        <v>59</v>
      </c>
      <c r="F586">
        <v>10</v>
      </c>
      <c r="G586">
        <v>57506</v>
      </c>
      <c r="H586" t="s">
        <v>480</v>
      </c>
      <c r="J586">
        <v>0</v>
      </c>
      <c r="K586" t="s">
        <v>45</v>
      </c>
      <c r="L586" t="s">
        <v>31</v>
      </c>
      <c r="M586" t="s">
        <v>39</v>
      </c>
      <c r="N586">
        <v>575060</v>
      </c>
      <c r="O586">
        <v>119958.48</v>
      </c>
      <c r="P586" t="s">
        <v>33</v>
      </c>
      <c r="Q586" t="s">
        <v>25</v>
      </c>
    </row>
    <row r="587" spans="1:17" x14ac:dyDescent="0.25">
      <c r="A587">
        <v>686</v>
      </c>
      <c r="B587" t="s">
        <v>91</v>
      </c>
      <c r="C587" t="s">
        <v>27</v>
      </c>
      <c r="D587" t="s">
        <v>28</v>
      </c>
      <c r="E587" t="s">
        <v>103</v>
      </c>
      <c r="F587">
        <v>2</v>
      </c>
      <c r="G587">
        <v>39360</v>
      </c>
      <c r="H587" t="s">
        <v>279</v>
      </c>
      <c r="J587">
        <v>10</v>
      </c>
      <c r="K587" t="s">
        <v>54</v>
      </c>
      <c r="L587" t="s">
        <v>31</v>
      </c>
      <c r="M587" t="s">
        <v>81</v>
      </c>
      <c r="N587">
        <v>70848</v>
      </c>
      <c r="O587">
        <v>15666.68</v>
      </c>
      <c r="P587" t="s">
        <v>24</v>
      </c>
      <c r="Q587" t="s">
        <v>25</v>
      </c>
    </row>
    <row r="588" spans="1:17" x14ac:dyDescent="0.25">
      <c r="A588">
        <v>687</v>
      </c>
      <c r="B588" t="s">
        <v>94</v>
      </c>
      <c r="C588" t="s">
        <v>35</v>
      </c>
      <c r="D588" t="s">
        <v>42</v>
      </c>
      <c r="E588" t="s">
        <v>52</v>
      </c>
      <c r="F588">
        <v>5</v>
      </c>
      <c r="G588">
        <v>53096</v>
      </c>
      <c r="H588" t="s">
        <v>481</v>
      </c>
      <c r="J588">
        <v>15</v>
      </c>
      <c r="K588" t="s">
        <v>38</v>
      </c>
      <c r="L588" t="s">
        <v>46</v>
      </c>
      <c r="M588" t="s">
        <v>64</v>
      </c>
      <c r="N588">
        <v>225658</v>
      </c>
      <c r="O588">
        <v>38490.589999999997</v>
      </c>
      <c r="P588" t="s">
        <v>65</v>
      </c>
      <c r="Q588" t="s">
        <v>56</v>
      </c>
    </row>
    <row r="589" spans="1:17" x14ac:dyDescent="0.25">
      <c r="A589">
        <v>688</v>
      </c>
      <c r="B589" t="s">
        <v>84</v>
      </c>
      <c r="C589" t="s">
        <v>68</v>
      </c>
      <c r="D589" t="s">
        <v>76</v>
      </c>
      <c r="E589" t="s">
        <v>92</v>
      </c>
      <c r="F589">
        <v>7</v>
      </c>
      <c r="G589">
        <v>50114</v>
      </c>
      <c r="H589" t="s">
        <v>380</v>
      </c>
      <c r="J589">
        <v>20</v>
      </c>
      <c r="K589" t="s">
        <v>21</v>
      </c>
      <c r="L589" t="s">
        <v>55</v>
      </c>
      <c r="M589" t="s">
        <v>81</v>
      </c>
      <c r="N589">
        <v>280638.40000000002</v>
      </c>
      <c r="O589">
        <v>69630.16</v>
      </c>
      <c r="P589" t="s">
        <v>65</v>
      </c>
      <c r="Q589" t="s">
        <v>56</v>
      </c>
    </row>
    <row r="590" spans="1:17" x14ac:dyDescent="0.25">
      <c r="A590">
        <v>689</v>
      </c>
      <c r="B590" t="s">
        <v>61</v>
      </c>
      <c r="C590" t="s">
        <v>68</v>
      </c>
      <c r="D590" t="s">
        <v>28</v>
      </c>
      <c r="E590" t="s">
        <v>103</v>
      </c>
      <c r="F590">
        <v>6</v>
      </c>
      <c r="G590">
        <v>51130</v>
      </c>
      <c r="H590" t="s">
        <v>482</v>
      </c>
      <c r="J590">
        <v>0</v>
      </c>
      <c r="K590" t="s">
        <v>54</v>
      </c>
      <c r="L590" t="s">
        <v>31</v>
      </c>
      <c r="M590" t="s">
        <v>64</v>
      </c>
      <c r="N590">
        <v>306780</v>
      </c>
      <c r="O590">
        <v>56651.41</v>
      </c>
      <c r="P590" t="s">
        <v>33</v>
      </c>
      <c r="Q590" t="s">
        <v>75</v>
      </c>
    </row>
    <row r="591" spans="1:17" x14ac:dyDescent="0.25">
      <c r="A591">
        <v>690</v>
      </c>
      <c r="B591" t="s">
        <v>26</v>
      </c>
      <c r="C591" t="s">
        <v>17</v>
      </c>
      <c r="D591" t="s">
        <v>42</v>
      </c>
      <c r="E591" t="s">
        <v>52</v>
      </c>
      <c r="F591">
        <v>1</v>
      </c>
      <c r="G591">
        <v>70230</v>
      </c>
      <c r="H591" t="s">
        <v>173</v>
      </c>
      <c r="J591">
        <v>15</v>
      </c>
      <c r="K591" t="s">
        <v>45</v>
      </c>
      <c r="L591" t="s">
        <v>55</v>
      </c>
      <c r="M591" t="s">
        <v>100</v>
      </c>
      <c r="N591">
        <v>59695.5</v>
      </c>
      <c r="O591">
        <v>9123.5300000000007</v>
      </c>
      <c r="P591" t="s">
        <v>65</v>
      </c>
      <c r="Q591" t="s">
        <v>25</v>
      </c>
    </row>
    <row r="592" spans="1:17" x14ac:dyDescent="0.25">
      <c r="A592">
        <v>691</v>
      </c>
      <c r="B592" t="s">
        <v>96</v>
      </c>
      <c r="C592" t="s">
        <v>68</v>
      </c>
      <c r="D592" t="s">
        <v>42</v>
      </c>
      <c r="E592" t="s">
        <v>52</v>
      </c>
      <c r="F592">
        <v>1</v>
      </c>
      <c r="G592">
        <v>530</v>
      </c>
      <c r="H592" t="s">
        <v>483</v>
      </c>
      <c r="J592">
        <v>0</v>
      </c>
      <c r="K592" t="s">
        <v>45</v>
      </c>
      <c r="L592" t="s">
        <v>31</v>
      </c>
      <c r="M592" t="s">
        <v>23</v>
      </c>
      <c r="N592">
        <v>530</v>
      </c>
      <c r="O592">
        <v>108.84</v>
      </c>
      <c r="P592" t="s">
        <v>65</v>
      </c>
      <c r="Q592" t="s">
        <v>25</v>
      </c>
    </row>
    <row r="593" spans="1:17" x14ac:dyDescent="0.25">
      <c r="A593">
        <v>692</v>
      </c>
      <c r="B593" t="s">
        <v>84</v>
      </c>
      <c r="C593" t="s">
        <v>27</v>
      </c>
      <c r="D593" t="s">
        <v>76</v>
      </c>
      <c r="E593" t="s">
        <v>77</v>
      </c>
      <c r="F593">
        <v>5</v>
      </c>
      <c r="G593">
        <v>7996</v>
      </c>
      <c r="H593" t="s">
        <v>377</v>
      </c>
      <c r="J593">
        <v>20</v>
      </c>
      <c r="K593" t="s">
        <v>21</v>
      </c>
      <c r="L593" t="s">
        <v>22</v>
      </c>
      <c r="M593" t="s">
        <v>50</v>
      </c>
      <c r="N593">
        <v>31984</v>
      </c>
      <c r="O593">
        <v>5862.85</v>
      </c>
      <c r="P593" t="s">
        <v>24</v>
      </c>
      <c r="Q593" t="s">
        <v>56</v>
      </c>
    </row>
    <row r="594" spans="1:17" x14ac:dyDescent="0.25">
      <c r="A594">
        <v>693</v>
      </c>
      <c r="B594" t="s">
        <v>107</v>
      </c>
      <c r="C594" t="s">
        <v>68</v>
      </c>
      <c r="D594" t="s">
        <v>42</v>
      </c>
      <c r="E594" t="s">
        <v>52</v>
      </c>
      <c r="F594">
        <v>3</v>
      </c>
      <c r="G594">
        <v>72913</v>
      </c>
      <c r="H594" t="s">
        <v>484</v>
      </c>
      <c r="J594">
        <v>15</v>
      </c>
      <c r="K594" t="s">
        <v>45</v>
      </c>
      <c r="L594" t="s">
        <v>31</v>
      </c>
      <c r="M594" t="s">
        <v>32</v>
      </c>
      <c r="N594">
        <v>185928.15</v>
      </c>
      <c r="O594">
        <v>15003.43</v>
      </c>
      <c r="P594" t="s">
        <v>33</v>
      </c>
      <c r="Q594" t="s">
        <v>56</v>
      </c>
    </row>
    <row r="595" spans="1:17" x14ac:dyDescent="0.25">
      <c r="A595">
        <v>694</v>
      </c>
      <c r="B595" t="s">
        <v>61</v>
      </c>
      <c r="C595" t="s">
        <v>27</v>
      </c>
      <c r="D595" t="s">
        <v>69</v>
      </c>
      <c r="E595" t="s">
        <v>121</v>
      </c>
      <c r="F595">
        <v>6</v>
      </c>
      <c r="G595">
        <v>10691</v>
      </c>
      <c r="H595" t="s">
        <v>485</v>
      </c>
      <c r="J595">
        <v>5</v>
      </c>
      <c r="K595" t="s">
        <v>74</v>
      </c>
      <c r="L595" t="s">
        <v>46</v>
      </c>
      <c r="M595" t="s">
        <v>64</v>
      </c>
      <c r="N595">
        <v>60938.7</v>
      </c>
      <c r="O595">
        <v>7368.35</v>
      </c>
      <c r="P595" t="s">
        <v>33</v>
      </c>
      <c r="Q595" t="s">
        <v>75</v>
      </c>
    </row>
    <row r="596" spans="1:17" x14ac:dyDescent="0.25">
      <c r="A596">
        <v>695</v>
      </c>
      <c r="B596" t="s">
        <v>96</v>
      </c>
      <c r="C596" t="s">
        <v>35</v>
      </c>
      <c r="D596" t="s">
        <v>28</v>
      </c>
      <c r="E596" t="s">
        <v>103</v>
      </c>
      <c r="F596">
        <v>2</v>
      </c>
      <c r="G596">
        <v>75702</v>
      </c>
      <c r="H596" t="s">
        <v>309</v>
      </c>
      <c r="J596">
        <v>10</v>
      </c>
      <c r="K596" t="s">
        <v>58</v>
      </c>
      <c r="L596" t="s">
        <v>31</v>
      </c>
      <c r="M596" t="s">
        <v>39</v>
      </c>
      <c r="N596">
        <v>136263.6</v>
      </c>
      <c r="O596">
        <v>15738.86</v>
      </c>
      <c r="P596" t="s">
        <v>24</v>
      </c>
      <c r="Q596" t="s">
        <v>56</v>
      </c>
    </row>
    <row r="597" spans="1:17" x14ac:dyDescent="0.25">
      <c r="A597">
        <v>696</v>
      </c>
      <c r="B597" t="s">
        <v>26</v>
      </c>
      <c r="C597" t="s">
        <v>27</v>
      </c>
      <c r="D597" t="s">
        <v>69</v>
      </c>
      <c r="E597" t="s">
        <v>121</v>
      </c>
      <c r="F597">
        <v>5</v>
      </c>
      <c r="G597">
        <v>67200</v>
      </c>
      <c r="H597" t="s">
        <v>486</v>
      </c>
      <c r="J597">
        <v>0</v>
      </c>
      <c r="K597" t="s">
        <v>58</v>
      </c>
      <c r="L597" t="s">
        <v>22</v>
      </c>
      <c r="M597" t="s">
        <v>47</v>
      </c>
      <c r="N597">
        <v>336000</v>
      </c>
      <c r="O597">
        <v>32180.32</v>
      </c>
      <c r="P597" t="s">
        <v>24</v>
      </c>
      <c r="Q597" t="s">
        <v>25</v>
      </c>
    </row>
    <row r="598" spans="1:17" x14ac:dyDescent="0.25">
      <c r="A598">
        <v>697</v>
      </c>
      <c r="B598" t="s">
        <v>94</v>
      </c>
      <c r="C598" t="s">
        <v>68</v>
      </c>
      <c r="D598" t="s">
        <v>42</v>
      </c>
      <c r="E598" t="s">
        <v>52</v>
      </c>
      <c r="F598">
        <v>10</v>
      </c>
      <c r="G598">
        <v>59145</v>
      </c>
      <c r="H598" t="s">
        <v>266</v>
      </c>
      <c r="J598">
        <v>5</v>
      </c>
      <c r="K598" t="s">
        <v>58</v>
      </c>
      <c r="L598" t="s">
        <v>31</v>
      </c>
      <c r="M598" t="s">
        <v>100</v>
      </c>
      <c r="N598">
        <v>561877.5</v>
      </c>
      <c r="O598">
        <v>132675.79</v>
      </c>
      <c r="P598" t="s">
        <v>24</v>
      </c>
      <c r="Q598" t="s">
        <v>25</v>
      </c>
    </row>
    <row r="599" spans="1:17" x14ac:dyDescent="0.25">
      <c r="A599">
        <v>698</v>
      </c>
      <c r="B599" t="s">
        <v>109</v>
      </c>
      <c r="C599" t="s">
        <v>17</v>
      </c>
      <c r="D599" t="s">
        <v>42</v>
      </c>
      <c r="E599" t="s">
        <v>59</v>
      </c>
      <c r="F599">
        <v>1</v>
      </c>
      <c r="G599">
        <v>39207</v>
      </c>
      <c r="H599" t="s">
        <v>487</v>
      </c>
      <c r="J599">
        <v>5</v>
      </c>
      <c r="K599" t="s">
        <v>45</v>
      </c>
      <c r="L599" t="s">
        <v>55</v>
      </c>
      <c r="M599" t="s">
        <v>64</v>
      </c>
      <c r="N599">
        <v>37246.65</v>
      </c>
      <c r="O599">
        <v>7580.55</v>
      </c>
      <c r="P599" t="s">
        <v>33</v>
      </c>
      <c r="Q599" t="s">
        <v>25</v>
      </c>
    </row>
    <row r="600" spans="1:17" x14ac:dyDescent="0.25">
      <c r="A600">
        <v>699</v>
      </c>
      <c r="B600" t="s">
        <v>41</v>
      </c>
      <c r="C600" t="s">
        <v>27</v>
      </c>
      <c r="D600" t="s">
        <v>42</v>
      </c>
      <c r="E600" t="s">
        <v>43</v>
      </c>
      <c r="F600">
        <v>9</v>
      </c>
      <c r="G600">
        <v>30085</v>
      </c>
      <c r="H600" t="s">
        <v>488</v>
      </c>
      <c r="J600">
        <v>20</v>
      </c>
      <c r="K600" t="s">
        <v>21</v>
      </c>
      <c r="L600" t="s">
        <v>46</v>
      </c>
      <c r="M600" t="s">
        <v>50</v>
      </c>
      <c r="N600">
        <v>216612</v>
      </c>
      <c r="O600">
        <v>47774.2</v>
      </c>
      <c r="P600" t="s">
        <v>24</v>
      </c>
      <c r="Q600" t="s">
        <v>56</v>
      </c>
    </row>
    <row r="601" spans="1:17" x14ac:dyDescent="0.25">
      <c r="A601">
        <v>700</v>
      </c>
      <c r="B601" t="s">
        <v>84</v>
      </c>
      <c r="C601" t="s">
        <v>27</v>
      </c>
      <c r="D601" t="s">
        <v>69</v>
      </c>
      <c r="E601" t="s">
        <v>121</v>
      </c>
      <c r="F601">
        <v>6</v>
      </c>
      <c r="G601">
        <v>68928</v>
      </c>
      <c r="H601" t="s">
        <v>489</v>
      </c>
      <c r="J601">
        <v>5</v>
      </c>
      <c r="K601" t="s">
        <v>74</v>
      </c>
      <c r="L601" t="s">
        <v>31</v>
      </c>
      <c r="M601" t="s">
        <v>100</v>
      </c>
      <c r="N601">
        <v>392889.59999999998</v>
      </c>
      <c r="O601">
        <v>104229.05</v>
      </c>
      <c r="P601" t="s">
        <v>24</v>
      </c>
      <c r="Q601" t="s">
        <v>25</v>
      </c>
    </row>
    <row r="602" spans="1:17" x14ac:dyDescent="0.25">
      <c r="A602">
        <v>701</v>
      </c>
      <c r="B602" t="s">
        <v>84</v>
      </c>
      <c r="C602" t="s">
        <v>27</v>
      </c>
      <c r="D602" t="s">
        <v>28</v>
      </c>
      <c r="E602" t="s">
        <v>48</v>
      </c>
      <c r="F602">
        <v>4</v>
      </c>
      <c r="G602">
        <v>21504</v>
      </c>
      <c r="H602" t="s">
        <v>433</v>
      </c>
      <c r="J602">
        <v>5</v>
      </c>
      <c r="K602" t="s">
        <v>45</v>
      </c>
      <c r="L602" t="s">
        <v>55</v>
      </c>
      <c r="M602" t="s">
        <v>32</v>
      </c>
      <c r="N602">
        <v>81715.199999999997</v>
      </c>
      <c r="O602">
        <v>9336.4599999999991</v>
      </c>
      <c r="P602" t="s">
        <v>65</v>
      </c>
      <c r="Q602" t="s">
        <v>75</v>
      </c>
    </row>
    <row r="603" spans="1:17" x14ac:dyDescent="0.25">
      <c r="A603">
        <v>702</v>
      </c>
      <c r="B603" t="s">
        <v>109</v>
      </c>
      <c r="C603" t="s">
        <v>68</v>
      </c>
      <c r="D603" t="s">
        <v>28</v>
      </c>
      <c r="E603" t="s">
        <v>48</v>
      </c>
      <c r="F603">
        <v>1</v>
      </c>
      <c r="G603">
        <v>51572</v>
      </c>
      <c r="H603" t="s">
        <v>374</v>
      </c>
      <c r="J603">
        <v>5</v>
      </c>
      <c r="K603" t="s">
        <v>58</v>
      </c>
      <c r="L603" t="s">
        <v>31</v>
      </c>
      <c r="M603" t="s">
        <v>39</v>
      </c>
      <c r="N603">
        <v>48993.4</v>
      </c>
      <c r="O603">
        <v>11647.7</v>
      </c>
      <c r="P603" t="s">
        <v>65</v>
      </c>
      <c r="Q603" t="s">
        <v>56</v>
      </c>
    </row>
    <row r="604" spans="1:17" x14ac:dyDescent="0.25">
      <c r="A604">
        <v>703</v>
      </c>
      <c r="B604" t="s">
        <v>115</v>
      </c>
      <c r="C604" t="s">
        <v>17</v>
      </c>
      <c r="D604" t="s">
        <v>18</v>
      </c>
      <c r="E604" t="s">
        <v>36</v>
      </c>
      <c r="F604">
        <v>10</v>
      </c>
      <c r="G604">
        <v>8398</v>
      </c>
      <c r="H604" t="s">
        <v>490</v>
      </c>
      <c r="J604">
        <v>15</v>
      </c>
      <c r="K604" t="s">
        <v>54</v>
      </c>
      <c r="L604" t="s">
        <v>22</v>
      </c>
      <c r="M604" t="s">
        <v>81</v>
      </c>
      <c r="N604">
        <v>71383</v>
      </c>
      <c r="O604">
        <v>10302.68</v>
      </c>
      <c r="P604" t="s">
        <v>24</v>
      </c>
      <c r="Q604" t="s">
        <v>56</v>
      </c>
    </row>
    <row r="605" spans="1:17" x14ac:dyDescent="0.25">
      <c r="A605">
        <v>704</v>
      </c>
      <c r="B605" t="s">
        <v>34</v>
      </c>
      <c r="C605" t="s">
        <v>17</v>
      </c>
      <c r="D605" t="s">
        <v>18</v>
      </c>
      <c r="E605" t="s">
        <v>62</v>
      </c>
      <c r="F605">
        <v>9</v>
      </c>
      <c r="G605">
        <v>64280</v>
      </c>
      <c r="H605" t="s">
        <v>491</v>
      </c>
      <c r="J605">
        <v>5</v>
      </c>
      <c r="K605" t="s">
        <v>21</v>
      </c>
      <c r="L605" t="s">
        <v>31</v>
      </c>
      <c r="M605" t="s">
        <v>81</v>
      </c>
      <c r="N605">
        <v>549594</v>
      </c>
      <c r="O605">
        <v>116188.3</v>
      </c>
      <c r="P605" t="s">
        <v>65</v>
      </c>
      <c r="Q605" t="s">
        <v>56</v>
      </c>
    </row>
    <row r="606" spans="1:17" x14ac:dyDescent="0.25">
      <c r="A606">
        <v>705</v>
      </c>
      <c r="B606" t="s">
        <v>91</v>
      </c>
      <c r="C606" t="s">
        <v>68</v>
      </c>
      <c r="D606" t="s">
        <v>76</v>
      </c>
      <c r="E606" t="s">
        <v>92</v>
      </c>
      <c r="F606">
        <v>2</v>
      </c>
      <c r="G606">
        <v>6455</v>
      </c>
      <c r="H606" t="s">
        <v>82</v>
      </c>
      <c r="J606">
        <v>0</v>
      </c>
      <c r="K606" t="s">
        <v>45</v>
      </c>
      <c r="L606" t="s">
        <v>31</v>
      </c>
      <c r="M606" t="s">
        <v>47</v>
      </c>
      <c r="N606">
        <v>12910</v>
      </c>
      <c r="O606">
        <v>1097.52</v>
      </c>
      <c r="P606" t="s">
        <v>65</v>
      </c>
      <c r="Q606" t="s">
        <v>56</v>
      </c>
    </row>
    <row r="607" spans="1:17" x14ac:dyDescent="0.25">
      <c r="A607">
        <v>706</v>
      </c>
      <c r="B607" t="s">
        <v>67</v>
      </c>
      <c r="C607" t="s">
        <v>27</v>
      </c>
      <c r="D607" t="s">
        <v>69</v>
      </c>
      <c r="E607" t="s">
        <v>70</v>
      </c>
      <c r="F607">
        <v>2</v>
      </c>
      <c r="G607">
        <v>57069</v>
      </c>
      <c r="H607" t="s">
        <v>492</v>
      </c>
      <c r="J607">
        <v>10</v>
      </c>
      <c r="K607" t="s">
        <v>21</v>
      </c>
      <c r="L607" t="s">
        <v>55</v>
      </c>
      <c r="M607" t="s">
        <v>23</v>
      </c>
      <c r="N607">
        <v>102724.2</v>
      </c>
      <c r="O607">
        <v>28001.86</v>
      </c>
      <c r="P607" t="s">
        <v>40</v>
      </c>
      <c r="Q607" t="s">
        <v>25</v>
      </c>
    </row>
    <row r="608" spans="1:17" x14ac:dyDescent="0.25">
      <c r="A608">
        <v>707</v>
      </c>
      <c r="B608" t="s">
        <v>51</v>
      </c>
      <c r="C608" t="s">
        <v>68</v>
      </c>
      <c r="D608" t="s">
        <v>18</v>
      </c>
      <c r="E608" t="s">
        <v>19</v>
      </c>
      <c r="F608">
        <v>4</v>
      </c>
      <c r="G608">
        <v>16042</v>
      </c>
      <c r="H608" t="s">
        <v>450</v>
      </c>
      <c r="J608">
        <v>5</v>
      </c>
      <c r="K608" t="s">
        <v>45</v>
      </c>
      <c r="L608" t="s">
        <v>55</v>
      </c>
      <c r="M608" t="s">
        <v>64</v>
      </c>
      <c r="N608">
        <v>60959.6</v>
      </c>
      <c r="O608">
        <v>10223.64</v>
      </c>
      <c r="P608" t="s">
        <v>33</v>
      </c>
      <c r="Q608" t="s">
        <v>25</v>
      </c>
    </row>
    <row r="609" spans="1:17" x14ac:dyDescent="0.25">
      <c r="A609">
        <v>708</v>
      </c>
      <c r="B609" t="s">
        <v>79</v>
      </c>
      <c r="C609" t="s">
        <v>68</v>
      </c>
      <c r="D609" t="s">
        <v>69</v>
      </c>
      <c r="E609" t="s">
        <v>98</v>
      </c>
      <c r="F609">
        <v>2</v>
      </c>
      <c r="G609">
        <v>59303</v>
      </c>
      <c r="H609" t="s">
        <v>493</v>
      </c>
      <c r="J609">
        <v>20</v>
      </c>
      <c r="K609" t="s">
        <v>74</v>
      </c>
      <c r="L609" t="s">
        <v>22</v>
      </c>
      <c r="M609" t="s">
        <v>39</v>
      </c>
      <c r="N609">
        <v>94884.800000000003</v>
      </c>
      <c r="O609">
        <v>15434.12</v>
      </c>
      <c r="P609" t="s">
        <v>65</v>
      </c>
      <c r="Q609" t="s">
        <v>75</v>
      </c>
    </row>
    <row r="610" spans="1:17" x14ac:dyDescent="0.25">
      <c r="A610">
        <v>709</v>
      </c>
      <c r="B610" t="s">
        <v>16</v>
      </c>
      <c r="C610" t="s">
        <v>35</v>
      </c>
      <c r="D610" t="s">
        <v>69</v>
      </c>
      <c r="E610" t="s">
        <v>70</v>
      </c>
      <c r="F610">
        <v>2</v>
      </c>
      <c r="G610">
        <v>57025</v>
      </c>
      <c r="H610" t="s">
        <v>494</v>
      </c>
      <c r="J610">
        <v>0</v>
      </c>
      <c r="K610" t="s">
        <v>21</v>
      </c>
      <c r="L610" t="s">
        <v>31</v>
      </c>
      <c r="M610" t="s">
        <v>64</v>
      </c>
      <c r="N610">
        <v>114050</v>
      </c>
      <c r="O610">
        <v>21858.12</v>
      </c>
      <c r="P610" t="s">
        <v>33</v>
      </c>
      <c r="Q610" t="s">
        <v>75</v>
      </c>
    </row>
    <row r="611" spans="1:17" x14ac:dyDescent="0.25">
      <c r="A611">
        <v>710</v>
      </c>
      <c r="B611" t="s">
        <v>51</v>
      </c>
      <c r="C611" t="s">
        <v>17</v>
      </c>
      <c r="D611" t="s">
        <v>18</v>
      </c>
      <c r="E611" t="s">
        <v>19</v>
      </c>
      <c r="F611">
        <v>7</v>
      </c>
      <c r="G611">
        <v>65854</v>
      </c>
      <c r="H611" t="s">
        <v>495</v>
      </c>
      <c r="J611">
        <v>0</v>
      </c>
      <c r="K611" t="s">
        <v>58</v>
      </c>
      <c r="L611" t="s">
        <v>55</v>
      </c>
      <c r="M611" t="s">
        <v>47</v>
      </c>
      <c r="N611">
        <v>460978</v>
      </c>
      <c r="O611">
        <v>69473.05</v>
      </c>
      <c r="P611" t="s">
        <v>40</v>
      </c>
      <c r="Q611" t="s">
        <v>56</v>
      </c>
    </row>
    <row r="612" spans="1:17" x14ac:dyDescent="0.25">
      <c r="A612">
        <v>711</v>
      </c>
      <c r="B612" t="s">
        <v>41</v>
      </c>
      <c r="C612" t="s">
        <v>17</v>
      </c>
      <c r="D612" t="s">
        <v>18</v>
      </c>
      <c r="E612" t="s">
        <v>36</v>
      </c>
      <c r="F612">
        <v>6</v>
      </c>
      <c r="G612">
        <v>63759</v>
      </c>
      <c r="H612" t="s">
        <v>496</v>
      </c>
      <c r="J612">
        <v>5</v>
      </c>
      <c r="K612" t="s">
        <v>45</v>
      </c>
      <c r="L612" t="s">
        <v>46</v>
      </c>
      <c r="M612" t="s">
        <v>81</v>
      </c>
      <c r="N612">
        <v>363426.3</v>
      </c>
      <c r="O612">
        <v>98058.6</v>
      </c>
      <c r="P612" t="s">
        <v>40</v>
      </c>
      <c r="Q612" t="s">
        <v>25</v>
      </c>
    </row>
    <row r="613" spans="1:17" x14ac:dyDescent="0.25">
      <c r="A613">
        <v>712</v>
      </c>
      <c r="B613" t="s">
        <v>107</v>
      </c>
      <c r="C613" t="s">
        <v>68</v>
      </c>
      <c r="D613" t="s">
        <v>28</v>
      </c>
      <c r="E613" t="s">
        <v>48</v>
      </c>
      <c r="F613">
        <v>10</v>
      </c>
      <c r="G613">
        <v>63526</v>
      </c>
      <c r="H613" t="s">
        <v>389</v>
      </c>
      <c r="J613">
        <v>15</v>
      </c>
      <c r="K613" t="s">
        <v>38</v>
      </c>
      <c r="L613" t="s">
        <v>22</v>
      </c>
      <c r="M613" t="s">
        <v>81</v>
      </c>
      <c r="N613">
        <v>539971</v>
      </c>
      <c r="O613">
        <v>130015.14</v>
      </c>
      <c r="P613" t="s">
        <v>24</v>
      </c>
      <c r="Q613" t="s">
        <v>75</v>
      </c>
    </row>
    <row r="614" spans="1:17" x14ac:dyDescent="0.25">
      <c r="A614">
        <v>713</v>
      </c>
      <c r="B614" t="s">
        <v>84</v>
      </c>
      <c r="C614" t="s">
        <v>68</v>
      </c>
      <c r="D614" t="s">
        <v>76</v>
      </c>
      <c r="E614" t="s">
        <v>92</v>
      </c>
      <c r="F614">
        <v>3</v>
      </c>
      <c r="G614">
        <v>1695</v>
      </c>
      <c r="H614" t="s">
        <v>497</v>
      </c>
      <c r="J614">
        <v>15</v>
      </c>
      <c r="K614" t="s">
        <v>38</v>
      </c>
      <c r="L614" t="s">
        <v>31</v>
      </c>
      <c r="M614" t="s">
        <v>64</v>
      </c>
      <c r="N614">
        <v>4322.25</v>
      </c>
      <c r="O614">
        <v>475.2</v>
      </c>
      <c r="P614" t="s">
        <v>40</v>
      </c>
      <c r="Q614" t="s">
        <v>75</v>
      </c>
    </row>
    <row r="615" spans="1:17" x14ac:dyDescent="0.25">
      <c r="A615">
        <v>714</v>
      </c>
      <c r="B615" t="s">
        <v>41</v>
      </c>
      <c r="C615" t="s">
        <v>68</v>
      </c>
      <c r="D615" t="s">
        <v>18</v>
      </c>
      <c r="E615" t="s">
        <v>36</v>
      </c>
      <c r="F615">
        <v>3</v>
      </c>
      <c r="G615">
        <v>46613</v>
      </c>
      <c r="H615" t="s">
        <v>248</v>
      </c>
      <c r="J615">
        <v>20</v>
      </c>
      <c r="K615" t="s">
        <v>45</v>
      </c>
      <c r="L615" t="s">
        <v>22</v>
      </c>
      <c r="M615" t="s">
        <v>64</v>
      </c>
      <c r="N615">
        <v>111871.2</v>
      </c>
      <c r="O615">
        <v>21467.86</v>
      </c>
      <c r="P615" t="s">
        <v>33</v>
      </c>
      <c r="Q615" t="s">
        <v>56</v>
      </c>
    </row>
    <row r="616" spans="1:17" x14ac:dyDescent="0.25">
      <c r="A616">
        <v>715</v>
      </c>
      <c r="B616" t="s">
        <v>51</v>
      </c>
      <c r="C616" t="s">
        <v>27</v>
      </c>
      <c r="D616" t="s">
        <v>42</v>
      </c>
      <c r="E616" t="s">
        <v>43</v>
      </c>
      <c r="F616">
        <v>2</v>
      </c>
      <c r="G616">
        <v>35497</v>
      </c>
      <c r="H616" t="s">
        <v>378</v>
      </c>
      <c r="J616">
        <v>20</v>
      </c>
      <c r="K616" t="s">
        <v>74</v>
      </c>
      <c r="L616" t="s">
        <v>55</v>
      </c>
      <c r="M616" t="s">
        <v>81</v>
      </c>
      <c r="N616">
        <v>56795.199999999997</v>
      </c>
      <c r="O616">
        <v>6076.34</v>
      </c>
      <c r="P616" t="s">
        <v>40</v>
      </c>
      <c r="Q616" t="s">
        <v>25</v>
      </c>
    </row>
    <row r="617" spans="1:17" x14ac:dyDescent="0.25">
      <c r="A617">
        <v>716</v>
      </c>
      <c r="B617" t="s">
        <v>16</v>
      </c>
      <c r="C617" t="s">
        <v>68</v>
      </c>
      <c r="D617" t="s">
        <v>69</v>
      </c>
      <c r="E617" t="s">
        <v>70</v>
      </c>
      <c r="F617">
        <v>8</v>
      </c>
      <c r="G617">
        <v>48080</v>
      </c>
      <c r="H617" t="s">
        <v>498</v>
      </c>
      <c r="J617">
        <v>20</v>
      </c>
      <c r="K617" t="s">
        <v>74</v>
      </c>
      <c r="L617" t="s">
        <v>22</v>
      </c>
      <c r="M617" t="s">
        <v>81</v>
      </c>
      <c r="N617">
        <v>307712</v>
      </c>
      <c r="O617">
        <v>81043.95</v>
      </c>
      <c r="P617" t="s">
        <v>40</v>
      </c>
      <c r="Q617" t="s">
        <v>56</v>
      </c>
    </row>
    <row r="618" spans="1:17" x14ac:dyDescent="0.25">
      <c r="A618">
        <v>717</v>
      </c>
      <c r="B618" t="s">
        <v>67</v>
      </c>
      <c r="C618" t="s">
        <v>68</v>
      </c>
      <c r="D618" t="s">
        <v>76</v>
      </c>
      <c r="E618" t="s">
        <v>92</v>
      </c>
      <c r="F618">
        <v>7</v>
      </c>
      <c r="G618">
        <v>77701</v>
      </c>
      <c r="H618" t="s">
        <v>499</v>
      </c>
      <c r="J618">
        <v>10</v>
      </c>
      <c r="K618" t="s">
        <v>58</v>
      </c>
      <c r="L618" t="s">
        <v>31</v>
      </c>
      <c r="M618" t="s">
        <v>50</v>
      </c>
      <c r="N618">
        <v>489516.3</v>
      </c>
      <c r="O618">
        <v>86566.39</v>
      </c>
      <c r="P618" t="s">
        <v>24</v>
      </c>
      <c r="Q618" t="s">
        <v>75</v>
      </c>
    </row>
    <row r="619" spans="1:17" x14ac:dyDescent="0.25">
      <c r="A619">
        <v>718</v>
      </c>
      <c r="B619" t="s">
        <v>94</v>
      </c>
      <c r="C619" t="s">
        <v>17</v>
      </c>
      <c r="D619" t="s">
        <v>28</v>
      </c>
      <c r="E619" t="s">
        <v>29</v>
      </c>
      <c r="F619">
        <v>9</v>
      </c>
      <c r="G619">
        <v>72899</v>
      </c>
      <c r="H619" t="s">
        <v>412</v>
      </c>
      <c r="J619">
        <v>15</v>
      </c>
      <c r="K619" t="s">
        <v>38</v>
      </c>
      <c r="L619" t="s">
        <v>55</v>
      </c>
      <c r="M619" t="s">
        <v>32</v>
      </c>
      <c r="N619">
        <v>557677.35</v>
      </c>
      <c r="O619">
        <v>118716.48</v>
      </c>
      <c r="P619" t="s">
        <v>40</v>
      </c>
      <c r="Q619" t="s">
        <v>75</v>
      </c>
    </row>
    <row r="620" spans="1:17" x14ac:dyDescent="0.25">
      <c r="A620">
        <v>719</v>
      </c>
      <c r="B620" t="s">
        <v>61</v>
      </c>
      <c r="C620" t="s">
        <v>68</v>
      </c>
      <c r="D620" t="s">
        <v>28</v>
      </c>
      <c r="E620" t="s">
        <v>29</v>
      </c>
      <c r="F620">
        <v>8</v>
      </c>
      <c r="G620">
        <v>20519</v>
      </c>
      <c r="H620" t="s">
        <v>252</v>
      </c>
      <c r="J620">
        <v>5</v>
      </c>
      <c r="K620" t="s">
        <v>45</v>
      </c>
      <c r="L620" t="s">
        <v>55</v>
      </c>
      <c r="M620" t="s">
        <v>64</v>
      </c>
      <c r="N620">
        <v>155944.4</v>
      </c>
      <c r="O620">
        <v>19433.830000000002</v>
      </c>
      <c r="P620" t="s">
        <v>65</v>
      </c>
      <c r="Q620" t="s">
        <v>56</v>
      </c>
    </row>
    <row r="621" spans="1:17" x14ac:dyDescent="0.25">
      <c r="A621">
        <v>720</v>
      </c>
      <c r="B621" t="s">
        <v>51</v>
      </c>
      <c r="C621" t="s">
        <v>35</v>
      </c>
      <c r="D621" t="s">
        <v>42</v>
      </c>
      <c r="E621" t="s">
        <v>52</v>
      </c>
      <c r="F621">
        <v>1</v>
      </c>
      <c r="G621">
        <v>13906</v>
      </c>
      <c r="H621" t="s">
        <v>500</v>
      </c>
      <c r="J621">
        <v>15</v>
      </c>
      <c r="K621" t="s">
        <v>58</v>
      </c>
      <c r="L621" t="s">
        <v>46</v>
      </c>
      <c r="M621" t="s">
        <v>64</v>
      </c>
      <c r="N621">
        <v>11820.1</v>
      </c>
      <c r="O621">
        <v>1229.93</v>
      </c>
      <c r="P621" t="s">
        <v>65</v>
      </c>
      <c r="Q621" t="s">
        <v>56</v>
      </c>
    </row>
    <row r="622" spans="1:17" x14ac:dyDescent="0.25">
      <c r="A622">
        <v>721</v>
      </c>
      <c r="B622" t="s">
        <v>26</v>
      </c>
      <c r="C622" t="s">
        <v>68</v>
      </c>
      <c r="D622" t="s">
        <v>76</v>
      </c>
      <c r="E622" t="s">
        <v>92</v>
      </c>
      <c r="F622">
        <v>7</v>
      </c>
      <c r="G622">
        <v>30898</v>
      </c>
      <c r="H622" t="s">
        <v>501</v>
      </c>
      <c r="J622">
        <v>20</v>
      </c>
      <c r="K622" t="s">
        <v>38</v>
      </c>
      <c r="L622" t="s">
        <v>22</v>
      </c>
      <c r="M622" t="s">
        <v>47</v>
      </c>
      <c r="N622">
        <v>173028.8</v>
      </c>
      <c r="O622">
        <v>17138.61</v>
      </c>
      <c r="P622" t="s">
        <v>65</v>
      </c>
      <c r="Q622" t="s">
        <v>56</v>
      </c>
    </row>
    <row r="623" spans="1:17" x14ac:dyDescent="0.25">
      <c r="A623">
        <v>722</v>
      </c>
      <c r="B623" t="s">
        <v>16</v>
      </c>
      <c r="C623" t="s">
        <v>17</v>
      </c>
      <c r="D623" t="s">
        <v>28</v>
      </c>
      <c r="E623" t="s">
        <v>48</v>
      </c>
      <c r="F623">
        <v>6</v>
      </c>
      <c r="G623">
        <v>67559</v>
      </c>
      <c r="H623" t="s">
        <v>502</v>
      </c>
      <c r="J623">
        <v>0</v>
      </c>
      <c r="K623" t="s">
        <v>74</v>
      </c>
      <c r="L623" t="s">
        <v>22</v>
      </c>
      <c r="M623" t="s">
        <v>64</v>
      </c>
      <c r="N623">
        <v>405354</v>
      </c>
      <c r="O623">
        <v>97422.8</v>
      </c>
      <c r="P623" t="s">
        <v>40</v>
      </c>
      <c r="Q623" t="s">
        <v>25</v>
      </c>
    </row>
    <row r="624" spans="1:17" x14ac:dyDescent="0.25">
      <c r="A624">
        <v>723</v>
      </c>
      <c r="B624" t="s">
        <v>61</v>
      </c>
      <c r="C624" t="s">
        <v>17</v>
      </c>
      <c r="D624" t="s">
        <v>42</v>
      </c>
      <c r="E624" t="s">
        <v>43</v>
      </c>
      <c r="F624">
        <v>2</v>
      </c>
      <c r="G624">
        <v>35930</v>
      </c>
      <c r="H624" t="s">
        <v>385</v>
      </c>
      <c r="J624">
        <v>20</v>
      </c>
      <c r="K624" t="s">
        <v>21</v>
      </c>
      <c r="L624" t="s">
        <v>55</v>
      </c>
      <c r="M624" t="s">
        <v>23</v>
      </c>
      <c r="N624">
        <v>57488</v>
      </c>
      <c r="O624">
        <v>9349.2900000000009</v>
      </c>
      <c r="P624" t="s">
        <v>33</v>
      </c>
      <c r="Q624" t="s">
        <v>56</v>
      </c>
    </row>
    <row r="625" spans="1:17" x14ac:dyDescent="0.25">
      <c r="A625">
        <v>724</v>
      </c>
      <c r="B625" t="s">
        <v>26</v>
      </c>
      <c r="C625" t="s">
        <v>17</v>
      </c>
      <c r="D625" t="s">
        <v>28</v>
      </c>
      <c r="E625" t="s">
        <v>103</v>
      </c>
      <c r="F625">
        <v>1</v>
      </c>
      <c r="G625">
        <v>36589</v>
      </c>
      <c r="H625" t="s">
        <v>180</v>
      </c>
      <c r="J625">
        <v>5</v>
      </c>
      <c r="K625" t="s">
        <v>74</v>
      </c>
      <c r="L625" t="s">
        <v>22</v>
      </c>
      <c r="M625" t="s">
        <v>23</v>
      </c>
      <c r="N625">
        <v>34759.550000000003</v>
      </c>
      <c r="O625">
        <v>5185.66</v>
      </c>
      <c r="P625" t="s">
        <v>40</v>
      </c>
      <c r="Q625" t="s">
        <v>25</v>
      </c>
    </row>
    <row r="626" spans="1:17" x14ac:dyDescent="0.25">
      <c r="A626">
        <v>725</v>
      </c>
      <c r="B626" t="s">
        <v>67</v>
      </c>
      <c r="C626" t="s">
        <v>68</v>
      </c>
      <c r="D626" t="s">
        <v>18</v>
      </c>
      <c r="E626" t="s">
        <v>72</v>
      </c>
      <c r="F626">
        <v>6</v>
      </c>
      <c r="G626">
        <v>45948</v>
      </c>
      <c r="H626" t="s">
        <v>503</v>
      </c>
      <c r="J626">
        <v>5</v>
      </c>
      <c r="K626" t="s">
        <v>58</v>
      </c>
      <c r="L626" t="s">
        <v>46</v>
      </c>
      <c r="M626" t="s">
        <v>32</v>
      </c>
      <c r="N626">
        <v>261903.6</v>
      </c>
      <c r="O626">
        <v>53982.55</v>
      </c>
      <c r="P626" t="s">
        <v>65</v>
      </c>
      <c r="Q626" t="s">
        <v>56</v>
      </c>
    </row>
    <row r="627" spans="1:17" x14ac:dyDescent="0.25">
      <c r="A627">
        <v>726</v>
      </c>
      <c r="B627" t="s">
        <v>107</v>
      </c>
      <c r="C627" t="s">
        <v>27</v>
      </c>
      <c r="D627" t="s">
        <v>76</v>
      </c>
      <c r="E627" t="s">
        <v>92</v>
      </c>
      <c r="F627">
        <v>4</v>
      </c>
      <c r="G627">
        <v>67744</v>
      </c>
      <c r="H627" t="s">
        <v>504</v>
      </c>
      <c r="J627">
        <v>20</v>
      </c>
      <c r="K627" t="s">
        <v>45</v>
      </c>
      <c r="L627" t="s">
        <v>31</v>
      </c>
      <c r="M627" t="s">
        <v>23</v>
      </c>
      <c r="N627">
        <v>216780.79999999999</v>
      </c>
      <c r="O627">
        <v>55932.22</v>
      </c>
      <c r="P627" t="s">
        <v>33</v>
      </c>
      <c r="Q627" t="s">
        <v>56</v>
      </c>
    </row>
    <row r="628" spans="1:17" x14ac:dyDescent="0.25">
      <c r="A628">
        <v>727</v>
      </c>
      <c r="B628" t="s">
        <v>61</v>
      </c>
      <c r="C628" t="s">
        <v>68</v>
      </c>
      <c r="D628" t="s">
        <v>18</v>
      </c>
      <c r="E628" t="s">
        <v>36</v>
      </c>
      <c r="F628">
        <v>8</v>
      </c>
      <c r="G628">
        <v>42057</v>
      </c>
      <c r="H628" t="s">
        <v>505</v>
      </c>
      <c r="J628">
        <v>5</v>
      </c>
      <c r="K628" t="s">
        <v>74</v>
      </c>
      <c r="L628" t="s">
        <v>31</v>
      </c>
      <c r="M628" t="s">
        <v>47</v>
      </c>
      <c r="N628">
        <v>319633.2</v>
      </c>
      <c r="O628">
        <v>34839.620000000003</v>
      </c>
      <c r="P628" t="s">
        <v>24</v>
      </c>
      <c r="Q628" t="s">
        <v>25</v>
      </c>
    </row>
    <row r="629" spans="1:17" x14ac:dyDescent="0.25">
      <c r="A629">
        <v>728</v>
      </c>
      <c r="B629" t="s">
        <v>91</v>
      </c>
      <c r="C629" t="s">
        <v>27</v>
      </c>
      <c r="D629" t="s">
        <v>28</v>
      </c>
      <c r="E629" t="s">
        <v>103</v>
      </c>
      <c r="F629">
        <v>4</v>
      </c>
      <c r="G629">
        <v>28987</v>
      </c>
      <c r="H629" t="s">
        <v>362</v>
      </c>
      <c r="J629">
        <v>15</v>
      </c>
      <c r="K629" t="s">
        <v>21</v>
      </c>
      <c r="L629" t="s">
        <v>31</v>
      </c>
      <c r="M629" t="s">
        <v>64</v>
      </c>
      <c r="N629">
        <v>98555.8</v>
      </c>
      <c r="O629">
        <v>14401.61</v>
      </c>
      <c r="P629" t="s">
        <v>24</v>
      </c>
      <c r="Q629" t="s">
        <v>25</v>
      </c>
    </row>
    <row r="630" spans="1:17" x14ac:dyDescent="0.25">
      <c r="A630">
        <v>729</v>
      </c>
      <c r="B630" t="s">
        <v>79</v>
      </c>
      <c r="C630" t="s">
        <v>27</v>
      </c>
      <c r="D630" t="s">
        <v>69</v>
      </c>
      <c r="E630" t="s">
        <v>121</v>
      </c>
      <c r="F630">
        <v>8</v>
      </c>
      <c r="G630">
        <v>26479</v>
      </c>
      <c r="H630" t="s">
        <v>285</v>
      </c>
      <c r="J630">
        <v>15</v>
      </c>
      <c r="K630" t="s">
        <v>74</v>
      </c>
      <c r="L630" t="s">
        <v>22</v>
      </c>
      <c r="M630" t="s">
        <v>100</v>
      </c>
      <c r="N630">
        <v>180057.2</v>
      </c>
      <c r="O630">
        <v>17288.37</v>
      </c>
      <c r="P630" t="s">
        <v>65</v>
      </c>
      <c r="Q630" t="s">
        <v>75</v>
      </c>
    </row>
    <row r="631" spans="1:17" x14ac:dyDescent="0.25">
      <c r="A631">
        <v>730</v>
      </c>
      <c r="B631" t="s">
        <v>91</v>
      </c>
      <c r="C631" t="s">
        <v>27</v>
      </c>
      <c r="D631" t="s">
        <v>76</v>
      </c>
      <c r="E631" t="s">
        <v>92</v>
      </c>
      <c r="F631">
        <v>3</v>
      </c>
      <c r="G631">
        <v>14668</v>
      </c>
      <c r="H631" t="s">
        <v>253</v>
      </c>
      <c r="J631">
        <v>10</v>
      </c>
      <c r="K631" t="s">
        <v>45</v>
      </c>
      <c r="L631" t="s">
        <v>46</v>
      </c>
      <c r="M631" t="s">
        <v>32</v>
      </c>
      <c r="N631">
        <v>39603.599999999999</v>
      </c>
      <c r="O631">
        <v>9572.64</v>
      </c>
      <c r="P631" t="s">
        <v>65</v>
      </c>
      <c r="Q631" t="s">
        <v>25</v>
      </c>
    </row>
    <row r="632" spans="1:17" x14ac:dyDescent="0.25">
      <c r="A632">
        <v>731</v>
      </c>
      <c r="B632" t="s">
        <v>16</v>
      </c>
      <c r="C632" t="s">
        <v>17</v>
      </c>
      <c r="D632" t="s">
        <v>76</v>
      </c>
      <c r="E632" t="s">
        <v>101</v>
      </c>
      <c r="F632">
        <v>9</v>
      </c>
      <c r="G632">
        <v>68941</v>
      </c>
      <c r="H632" t="s">
        <v>485</v>
      </c>
      <c r="J632">
        <v>15</v>
      </c>
      <c r="K632" t="s">
        <v>45</v>
      </c>
      <c r="L632" t="s">
        <v>46</v>
      </c>
      <c r="M632" t="s">
        <v>81</v>
      </c>
      <c r="N632">
        <v>527398.65</v>
      </c>
      <c r="O632">
        <v>107592.74</v>
      </c>
      <c r="P632" t="s">
        <v>24</v>
      </c>
      <c r="Q632" t="s">
        <v>25</v>
      </c>
    </row>
    <row r="633" spans="1:17" x14ac:dyDescent="0.25">
      <c r="A633">
        <v>732</v>
      </c>
      <c r="B633" t="s">
        <v>94</v>
      </c>
      <c r="C633" t="s">
        <v>35</v>
      </c>
      <c r="D633" t="s">
        <v>42</v>
      </c>
      <c r="E633" t="s">
        <v>52</v>
      </c>
      <c r="F633">
        <v>6</v>
      </c>
      <c r="G633">
        <v>33521</v>
      </c>
      <c r="H633" t="s">
        <v>182</v>
      </c>
      <c r="J633">
        <v>5</v>
      </c>
      <c r="K633" t="s">
        <v>45</v>
      </c>
      <c r="L633" t="s">
        <v>22</v>
      </c>
      <c r="M633" t="s">
        <v>47</v>
      </c>
      <c r="N633">
        <v>191069.7</v>
      </c>
      <c r="O633">
        <v>39980.620000000003</v>
      </c>
      <c r="P633" t="s">
        <v>65</v>
      </c>
      <c r="Q633" t="s">
        <v>56</v>
      </c>
    </row>
    <row r="634" spans="1:17" x14ac:dyDescent="0.25">
      <c r="A634">
        <v>733</v>
      </c>
      <c r="B634" t="s">
        <v>26</v>
      </c>
      <c r="C634" t="s">
        <v>17</v>
      </c>
      <c r="D634" t="s">
        <v>42</v>
      </c>
      <c r="E634" t="s">
        <v>43</v>
      </c>
      <c r="F634">
        <v>9</v>
      </c>
      <c r="G634">
        <v>77908</v>
      </c>
      <c r="H634" t="s">
        <v>105</v>
      </c>
      <c r="J634">
        <v>20</v>
      </c>
      <c r="K634" t="s">
        <v>74</v>
      </c>
      <c r="L634" t="s">
        <v>22</v>
      </c>
      <c r="M634" t="s">
        <v>81</v>
      </c>
      <c r="N634">
        <v>560937.6</v>
      </c>
      <c r="O634">
        <v>147978.99</v>
      </c>
      <c r="P634" t="s">
        <v>40</v>
      </c>
      <c r="Q634" t="s">
        <v>75</v>
      </c>
    </row>
    <row r="635" spans="1:17" x14ac:dyDescent="0.25">
      <c r="A635">
        <v>734</v>
      </c>
      <c r="B635" t="s">
        <v>94</v>
      </c>
      <c r="C635" t="s">
        <v>35</v>
      </c>
      <c r="D635" t="s">
        <v>69</v>
      </c>
      <c r="E635" t="s">
        <v>121</v>
      </c>
      <c r="F635">
        <v>10</v>
      </c>
      <c r="G635">
        <v>30954</v>
      </c>
      <c r="H635" t="s">
        <v>125</v>
      </c>
      <c r="J635">
        <v>5</v>
      </c>
      <c r="K635" t="s">
        <v>21</v>
      </c>
      <c r="L635" t="s">
        <v>55</v>
      </c>
      <c r="M635" t="s">
        <v>81</v>
      </c>
      <c r="N635">
        <v>294063</v>
      </c>
      <c r="O635">
        <v>67755.56</v>
      </c>
      <c r="P635" t="s">
        <v>24</v>
      </c>
      <c r="Q635" t="s">
        <v>25</v>
      </c>
    </row>
    <row r="636" spans="1:17" x14ac:dyDescent="0.25">
      <c r="A636">
        <v>735</v>
      </c>
      <c r="B636" t="s">
        <v>34</v>
      </c>
      <c r="C636" t="s">
        <v>68</v>
      </c>
      <c r="D636" t="s">
        <v>18</v>
      </c>
      <c r="E636" t="s">
        <v>62</v>
      </c>
      <c r="F636">
        <v>9</v>
      </c>
      <c r="G636">
        <v>48048</v>
      </c>
      <c r="H636" t="s">
        <v>506</v>
      </c>
      <c r="J636">
        <v>5</v>
      </c>
      <c r="K636" t="s">
        <v>38</v>
      </c>
      <c r="L636" t="s">
        <v>31</v>
      </c>
      <c r="M636" t="s">
        <v>39</v>
      </c>
      <c r="N636">
        <v>410810.4</v>
      </c>
      <c r="O636">
        <v>37813.93</v>
      </c>
      <c r="P636" t="s">
        <v>65</v>
      </c>
      <c r="Q636" t="s">
        <v>56</v>
      </c>
    </row>
    <row r="637" spans="1:17" x14ac:dyDescent="0.25">
      <c r="A637">
        <v>736</v>
      </c>
      <c r="B637" t="s">
        <v>79</v>
      </c>
      <c r="C637" t="s">
        <v>68</v>
      </c>
      <c r="D637" t="s">
        <v>28</v>
      </c>
      <c r="E637" t="s">
        <v>29</v>
      </c>
      <c r="F637">
        <v>6</v>
      </c>
      <c r="G637">
        <v>75344</v>
      </c>
      <c r="H637" t="s">
        <v>507</v>
      </c>
      <c r="J637">
        <v>0</v>
      </c>
      <c r="K637" t="s">
        <v>74</v>
      </c>
      <c r="L637" t="s">
        <v>46</v>
      </c>
      <c r="M637" t="s">
        <v>81</v>
      </c>
      <c r="N637">
        <v>452064</v>
      </c>
      <c r="O637">
        <v>70565.7</v>
      </c>
      <c r="P637" t="s">
        <v>24</v>
      </c>
      <c r="Q637" t="s">
        <v>25</v>
      </c>
    </row>
    <row r="638" spans="1:17" x14ac:dyDescent="0.25">
      <c r="A638">
        <v>737</v>
      </c>
      <c r="B638" t="s">
        <v>67</v>
      </c>
      <c r="C638" t="s">
        <v>35</v>
      </c>
      <c r="D638" t="s">
        <v>18</v>
      </c>
      <c r="E638" t="s">
        <v>72</v>
      </c>
      <c r="F638">
        <v>3</v>
      </c>
      <c r="G638">
        <v>62516</v>
      </c>
      <c r="H638" t="s">
        <v>57</v>
      </c>
      <c r="J638">
        <v>10</v>
      </c>
      <c r="K638" t="s">
        <v>21</v>
      </c>
      <c r="L638" t="s">
        <v>31</v>
      </c>
      <c r="M638" t="s">
        <v>39</v>
      </c>
      <c r="N638">
        <v>168793.2</v>
      </c>
      <c r="O638">
        <v>42404.04</v>
      </c>
      <c r="P638" t="s">
        <v>24</v>
      </c>
      <c r="Q638" t="s">
        <v>75</v>
      </c>
    </row>
    <row r="639" spans="1:17" x14ac:dyDescent="0.25">
      <c r="A639">
        <v>738</v>
      </c>
      <c r="B639" t="s">
        <v>84</v>
      </c>
      <c r="C639" t="s">
        <v>68</v>
      </c>
      <c r="D639" t="s">
        <v>69</v>
      </c>
      <c r="E639" t="s">
        <v>70</v>
      </c>
      <c r="F639">
        <v>4</v>
      </c>
      <c r="G639">
        <v>32473</v>
      </c>
      <c r="H639" t="s">
        <v>141</v>
      </c>
      <c r="J639">
        <v>5</v>
      </c>
      <c r="K639" t="s">
        <v>54</v>
      </c>
      <c r="L639" t="s">
        <v>55</v>
      </c>
      <c r="M639" t="s">
        <v>100</v>
      </c>
      <c r="N639">
        <v>123397.4</v>
      </c>
      <c r="O639">
        <v>18856.05</v>
      </c>
      <c r="P639" t="s">
        <v>40</v>
      </c>
      <c r="Q639" t="s">
        <v>25</v>
      </c>
    </row>
    <row r="640" spans="1:17" x14ac:dyDescent="0.25">
      <c r="A640">
        <v>739</v>
      </c>
      <c r="B640" t="s">
        <v>26</v>
      </c>
      <c r="C640" t="s">
        <v>17</v>
      </c>
      <c r="D640" t="s">
        <v>76</v>
      </c>
      <c r="E640" t="s">
        <v>101</v>
      </c>
      <c r="F640">
        <v>10</v>
      </c>
      <c r="G640">
        <v>52905</v>
      </c>
      <c r="H640" t="s">
        <v>331</v>
      </c>
      <c r="J640">
        <v>15</v>
      </c>
      <c r="K640" t="s">
        <v>45</v>
      </c>
      <c r="L640" t="s">
        <v>22</v>
      </c>
      <c r="M640" t="s">
        <v>81</v>
      </c>
      <c r="N640">
        <v>449692.5</v>
      </c>
      <c r="O640">
        <v>115821.58</v>
      </c>
      <c r="P640" t="s">
        <v>65</v>
      </c>
      <c r="Q640" t="s">
        <v>75</v>
      </c>
    </row>
    <row r="641" spans="1:17" x14ac:dyDescent="0.25">
      <c r="A641">
        <v>740</v>
      </c>
      <c r="B641" t="s">
        <v>16</v>
      </c>
      <c r="C641" t="s">
        <v>35</v>
      </c>
      <c r="D641" t="s">
        <v>69</v>
      </c>
      <c r="E641" t="s">
        <v>121</v>
      </c>
      <c r="F641">
        <v>10</v>
      </c>
      <c r="G641">
        <v>16254</v>
      </c>
      <c r="H641" t="s">
        <v>157</v>
      </c>
      <c r="J641">
        <v>5</v>
      </c>
      <c r="K641" t="s">
        <v>58</v>
      </c>
      <c r="L641" t="s">
        <v>22</v>
      </c>
      <c r="M641" t="s">
        <v>23</v>
      </c>
      <c r="N641">
        <v>154413</v>
      </c>
      <c r="O641">
        <v>12620.74</v>
      </c>
      <c r="P641" t="s">
        <v>24</v>
      </c>
      <c r="Q641" t="s">
        <v>56</v>
      </c>
    </row>
    <row r="642" spans="1:17" x14ac:dyDescent="0.25">
      <c r="A642">
        <v>741</v>
      </c>
      <c r="B642" t="s">
        <v>26</v>
      </c>
      <c r="C642" t="s">
        <v>68</v>
      </c>
      <c r="D642" t="s">
        <v>76</v>
      </c>
      <c r="E642" t="s">
        <v>77</v>
      </c>
      <c r="F642">
        <v>9</v>
      </c>
      <c r="G642">
        <v>74592</v>
      </c>
      <c r="H642" t="s">
        <v>508</v>
      </c>
      <c r="J642">
        <v>10</v>
      </c>
      <c r="K642" t="s">
        <v>38</v>
      </c>
      <c r="L642" t="s">
        <v>22</v>
      </c>
      <c r="M642" t="s">
        <v>50</v>
      </c>
      <c r="N642">
        <v>604195.19999999995</v>
      </c>
      <c r="O642">
        <v>170759.99</v>
      </c>
      <c r="P642" t="s">
        <v>65</v>
      </c>
      <c r="Q642" t="s">
        <v>75</v>
      </c>
    </row>
    <row r="643" spans="1:17" x14ac:dyDescent="0.25">
      <c r="A643">
        <v>742</v>
      </c>
      <c r="B643" t="s">
        <v>107</v>
      </c>
      <c r="C643" t="s">
        <v>27</v>
      </c>
      <c r="D643" t="s">
        <v>18</v>
      </c>
      <c r="E643" t="s">
        <v>62</v>
      </c>
      <c r="F643">
        <v>9</v>
      </c>
      <c r="G643">
        <v>61598</v>
      </c>
      <c r="H643" t="s">
        <v>37</v>
      </c>
      <c r="J643">
        <v>10</v>
      </c>
      <c r="K643" t="s">
        <v>58</v>
      </c>
      <c r="L643" t="s">
        <v>55</v>
      </c>
      <c r="M643" t="s">
        <v>100</v>
      </c>
      <c r="N643">
        <v>498943.8</v>
      </c>
      <c r="O643">
        <v>111810.69</v>
      </c>
      <c r="P643" t="s">
        <v>40</v>
      </c>
      <c r="Q643" t="s">
        <v>25</v>
      </c>
    </row>
    <row r="644" spans="1:17" x14ac:dyDescent="0.25">
      <c r="A644">
        <v>743</v>
      </c>
      <c r="B644" t="s">
        <v>91</v>
      </c>
      <c r="C644" t="s">
        <v>35</v>
      </c>
      <c r="D644" t="s">
        <v>42</v>
      </c>
      <c r="E644" t="s">
        <v>59</v>
      </c>
      <c r="F644">
        <v>5</v>
      </c>
      <c r="G644">
        <v>9190</v>
      </c>
      <c r="H644" t="s">
        <v>509</v>
      </c>
      <c r="J644">
        <v>15</v>
      </c>
      <c r="K644" t="s">
        <v>58</v>
      </c>
      <c r="L644" t="s">
        <v>31</v>
      </c>
      <c r="M644" t="s">
        <v>64</v>
      </c>
      <c r="N644">
        <v>39057.5</v>
      </c>
      <c r="O644">
        <v>11389.09</v>
      </c>
      <c r="P644" t="s">
        <v>33</v>
      </c>
      <c r="Q644" t="s">
        <v>25</v>
      </c>
    </row>
    <row r="645" spans="1:17" x14ac:dyDescent="0.25">
      <c r="A645">
        <v>744</v>
      </c>
      <c r="B645" t="s">
        <v>91</v>
      </c>
      <c r="C645" t="s">
        <v>35</v>
      </c>
      <c r="D645" t="s">
        <v>18</v>
      </c>
      <c r="E645" t="s">
        <v>62</v>
      </c>
      <c r="F645">
        <v>7</v>
      </c>
      <c r="G645">
        <v>32836</v>
      </c>
      <c r="H645" t="s">
        <v>187</v>
      </c>
      <c r="J645">
        <v>5</v>
      </c>
      <c r="K645" t="s">
        <v>74</v>
      </c>
      <c r="L645" t="s">
        <v>55</v>
      </c>
      <c r="M645" t="s">
        <v>39</v>
      </c>
      <c r="N645">
        <v>218359.4</v>
      </c>
      <c r="O645">
        <v>65282.63</v>
      </c>
      <c r="P645" t="s">
        <v>33</v>
      </c>
      <c r="Q645" t="s">
        <v>75</v>
      </c>
    </row>
    <row r="646" spans="1:17" x14ac:dyDescent="0.25">
      <c r="A646">
        <v>745</v>
      </c>
      <c r="B646" t="s">
        <v>109</v>
      </c>
      <c r="C646" t="s">
        <v>35</v>
      </c>
      <c r="D646" t="s">
        <v>42</v>
      </c>
      <c r="E646" t="s">
        <v>43</v>
      </c>
      <c r="F646">
        <v>10</v>
      </c>
      <c r="G646">
        <v>69163</v>
      </c>
      <c r="H646" t="s">
        <v>510</v>
      </c>
      <c r="J646">
        <v>5</v>
      </c>
      <c r="K646" t="s">
        <v>45</v>
      </c>
      <c r="L646" t="s">
        <v>46</v>
      </c>
      <c r="M646" t="s">
        <v>81</v>
      </c>
      <c r="N646">
        <v>657048.5</v>
      </c>
      <c r="O646">
        <v>75844.13</v>
      </c>
      <c r="P646" t="s">
        <v>65</v>
      </c>
      <c r="Q646" t="s">
        <v>56</v>
      </c>
    </row>
    <row r="647" spans="1:17" x14ac:dyDescent="0.25">
      <c r="A647">
        <v>746</v>
      </c>
      <c r="B647" t="s">
        <v>51</v>
      </c>
      <c r="C647" t="s">
        <v>27</v>
      </c>
      <c r="D647" t="s">
        <v>18</v>
      </c>
      <c r="E647" t="s">
        <v>62</v>
      </c>
      <c r="F647">
        <v>2</v>
      </c>
      <c r="G647">
        <v>27024</v>
      </c>
      <c r="H647" t="s">
        <v>511</v>
      </c>
      <c r="J647">
        <v>10</v>
      </c>
      <c r="K647" t="s">
        <v>38</v>
      </c>
      <c r="L647" t="s">
        <v>22</v>
      </c>
      <c r="M647" t="s">
        <v>100</v>
      </c>
      <c r="N647">
        <v>48643.199999999997</v>
      </c>
      <c r="O647">
        <v>8413.24</v>
      </c>
      <c r="P647" t="s">
        <v>40</v>
      </c>
      <c r="Q647" t="s">
        <v>56</v>
      </c>
    </row>
    <row r="648" spans="1:17" x14ac:dyDescent="0.25">
      <c r="A648">
        <v>747</v>
      </c>
      <c r="B648" t="s">
        <v>91</v>
      </c>
      <c r="C648" t="s">
        <v>17</v>
      </c>
      <c r="D648" t="s">
        <v>18</v>
      </c>
      <c r="E648" t="s">
        <v>36</v>
      </c>
      <c r="F648">
        <v>8</v>
      </c>
      <c r="G648">
        <v>55139</v>
      </c>
      <c r="H648" t="s">
        <v>512</v>
      </c>
      <c r="J648">
        <v>15</v>
      </c>
      <c r="K648" t="s">
        <v>74</v>
      </c>
      <c r="L648" t="s">
        <v>22</v>
      </c>
      <c r="M648" t="s">
        <v>81</v>
      </c>
      <c r="N648">
        <v>374945.2</v>
      </c>
      <c r="O648">
        <v>106900.85</v>
      </c>
      <c r="P648" t="s">
        <v>40</v>
      </c>
      <c r="Q648" t="s">
        <v>56</v>
      </c>
    </row>
    <row r="649" spans="1:17" x14ac:dyDescent="0.25">
      <c r="A649">
        <v>748</v>
      </c>
      <c r="B649" t="s">
        <v>67</v>
      </c>
      <c r="C649" t="s">
        <v>35</v>
      </c>
      <c r="D649" t="s">
        <v>69</v>
      </c>
      <c r="E649" t="s">
        <v>70</v>
      </c>
      <c r="F649">
        <v>3</v>
      </c>
      <c r="G649">
        <v>4672</v>
      </c>
      <c r="H649" t="s">
        <v>513</v>
      </c>
      <c r="J649">
        <v>20</v>
      </c>
      <c r="K649" t="s">
        <v>54</v>
      </c>
      <c r="L649" t="s">
        <v>55</v>
      </c>
      <c r="M649" t="s">
        <v>64</v>
      </c>
      <c r="N649">
        <v>11212.8</v>
      </c>
      <c r="O649">
        <v>3068.36</v>
      </c>
      <c r="P649" t="s">
        <v>24</v>
      </c>
      <c r="Q649" t="s">
        <v>56</v>
      </c>
    </row>
    <row r="650" spans="1:17" x14ac:dyDescent="0.25">
      <c r="A650">
        <v>749</v>
      </c>
      <c r="B650" t="s">
        <v>91</v>
      </c>
      <c r="C650" t="s">
        <v>27</v>
      </c>
      <c r="D650" t="s">
        <v>42</v>
      </c>
      <c r="E650" t="s">
        <v>43</v>
      </c>
      <c r="F650">
        <v>9</v>
      </c>
      <c r="G650">
        <v>52430</v>
      </c>
      <c r="H650" t="s">
        <v>277</v>
      </c>
      <c r="J650">
        <v>15</v>
      </c>
      <c r="K650" t="s">
        <v>21</v>
      </c>
      <c r="L650" t="s">
        <v>55</v>
      </c>
      <c r="M650" t="s">
        <v>32</v>
      </c>
      <c r="N650">
        <v>401089.5</v>
      </c>
      <c r="O650">
        <v>80320.600000000006</v>
      </c>
      <c r="P650" t="s">
        <v>33</v>
      </c>
      <c r="Q650" t="s">
        <v>25</v>
      </c>
    </row>
    <row r="651" spans="1:17" x14ac:dyDescent="0.25">
      <c r="A651">
        <v>750</v>
      </c>
      <c r="B651" t="s">
        <v>91</v>
      </c>
      <c r="C651" t="s">
        <v>17</v>
      </c>
      <c r="D651" t="s">
        <v>76</v>
      </c>
      <c r="E651" t="s">
        <v>77</v>
      </c>
      <c r="F651">
        <v>6</v>
      </c>
      <c r="G651">
        <v>66903</v>
      </c>
      <c r="H651" t="s">
        <v>514</v>
      </c>
      <c r="J651">
        <v>10</v>
      </c>
      <c r="K651" t="s">
        <v>21</v>
      </c>
      <c r="L651" t="s">
        <v>46</v>
      </c>
      <c r="M651" t="s">
        <v>32</v>
      </c>
      <c r="N651">
        <v>361276.2</v>
      </c>
      <c r="O651">
        <v>45766.91</v>
      </c>
      <c r="P651" t="s">
        <v>24</v>
      </c>
      <c r="Q651" t="s">
        <v>56</v>
      </c>
    </row>
    <row r="652" spans="1:17" x14ac:dyDescent="0.25">
      <c r="A652">
        <v>751</v>
      </c>
      <c r="B652" t="s">
        <v>94</v>
      </c>
      <c r="C652" t="s">
        <v>17</v>
      </c>
      <c r="D652" t="s">
        <v>28</v>
      </c>
      <c r="E652" t="s">
        <v>103</v>
      </c>
      <c r="F652">
        <v>4</v>
      </c>
      <c r="G652">
        <v>14461</v>
      </c>
      <c r="H652" t="s">
        <v>132</v>
      </c>
      <c r="J652">
        <v>5</v>
      </c>
      <c r="K652" t="s">
        <v>21</v>
      </c>
      <c r="L652" t="s">
        <v>46</v>
      </c>
      <c r="M652" t="s">
        <v>100</v>
      </c>
      <c r="N652">
        <v>54951.8</v>
      </c>
      <c r="O652">
        <v>7974.44</v>
      </c>
      <c r="P652" t="s">
        <v>40</v>
      </c>
      <c r="Q652" t="s">
        <v>25</v>
      </c>
    </row>
    <row r="653" spans="1:17" x14ac:dyDescent="0.25">
      <c r="A653">
        <v>752</v>
      </c>
      <c r="B653" t="s">
        <v>16</v>
      </c>
      <c r="C653" t="s">
        <v>35</v>
      </c>
      <c r="D653" t="s">
        <v>69</v>
      </c>
      <c r="E653" t="s">
        <v>121</v>
      </c>
      <c r="F653">
        <v>9</v>
      </c>
      <c r="G653">
        <v>67385</v>
      </c>
      <c r="H653" t="s">
        <v>169</v>
      </c>
      <c r="J653">
        <v>15</v>
      </c>
      <c r="K653" t="s">
        <v>45</v>
      </c>
      <c r="L653" t="s">
        <v>22</v>
      </c>
      <c r="M653" t="s">
        <v>39</v>
      </c>
      <c r="N653">
        <v>515495.25</v>
      </c>
      <c r="O653">
        <v>121815.27</v>
      </c>
      <c r="P653" t="s">
        <v>24</v>
      </c>
      <c r="Q653" t="s">
        <v>75</v>
      </c>
    </row>
    <row r="654" spans="1:17" x14ac:dyDescent="0.25">
      <c r="A654">
        <v>753</v>
      </c>
      <c r="B654" t="s">
        <v>96</v>
      </c>
      <c r="C654" t="s">
        <v>17</v>
      </c>
      <c r="D654" t="s">
        <v>76</v>
      </c>
      <c r="E654" t="s">
        <v>101</v>
      </c>
      <c r="F654">
        <v>9</v>
      </c>
      <c r="G654">
        <v>3303</v>
      </c>
      <c r="H654" t="s">
        <v>515</v>
      </c>
      <c r="J654">
        <v>15</v>
      </c>
      <c r="K654" t="s">
        <v>58</v>
      </c>
      <c r="L654" t="s">
        <v>55</v>
      </c>
      <c r="M654" t="s">
        <v>100</v>
      </c>
      <c r="N654">
        <v>25267.95</v>
      </c>
      <c r="O654">
        <v>7125.67</v>
      </c>
      <c r="P654" t="s">
        <v>40</v>
      </c>
      <c r="Q654" t="s">
        <v>25</v>
      </c>
    </row>
    <row r="655" spans="1:17" x14ac:dyDescent="0.25">
      <c r="A655">
        <v>754</v>
      </c>
      <c r="B655" t="s">
        <v>91</v>
      </c>
      <c r="C655" t="s">
        <v>17</v>
      </c>
      <c r="D655" t="s">
        <v>28</v>
      </c>
      <c r="E655" t="s">
        <v>103</v>
      </c>
      <c r="F655">
        <v>9</v>
      </c>
      <c r="G655">
        <v>27312</v>
      </c>
      <c r="H655" t="s">
        <v>516</v>
      </c>
      <c r="J655">
        <v>10</v>
      </c>
      <c r="K655" t="s">
        <v>45</v>
      </c>
      <c r="L655" t="s">
        <v>31</v>
      </c>
      <c r="M655" t="s">
        <v>64</v>
      </c>
      <c r="N655">
        <v>221227.2</v>
      </c>
      <c r="O655">
        <v>66174.28</v>
      </c>
      <c r="P655" t="s">
        <v>65</v>
      </c>
      <c r="Q655" t="s">
        <v>25</v>
      </c>
    </row>
    <row r="656" spans="1:17" x14ac:dyDescent="0.25">
      <c r="A656">
        <v>755</v>
      </c>
      <c r="B656" t="s">
        <v>115</v>
      </c>
      <c r="C656" t="s">
        <v>27</v>
      </c>
      <c r="D656" t="s">
        <v>69</v>
      </c>
      <c r="E656" t="s">
        <v>98</v>
      </c>
      <c r="F656">
        <v>2</v>
      </c>
      <c r="G656">
        <v>13551</v>
      </c>
      <c r="H656" t="s">
        <v>295</v>
      </c>
      <c r="J656">
        <v>15</v>
      </c>
      <c r="K656" t="s">
        <v>21</v>
      </c>
      <c r="L656" t="s">
        <v>55</v>
      </c>
      <c r="M656" t="s">
        <v>47</v>
      </c>
      <c r="N656">
        <v>23036.7</v>
      </c>
      <c r="O656">
        <v>3284.76</v>
      </c>
      <c r="P656" t="s">
        <v>33</v>
      </c>
      <c r="Q656" t="s">
        <v>75</v>
      </c>
    </row>
    <row r="657" spans="1:17" x14ac:dyDescent="0.25">
      <c r="A657">
        <v>756</v>
      </c>
      <c r="B657" t="s">
        <v>107</v>
      </c>
      <c r="C657" t="s">
        <v>35</v>
      </c>
      <c r="D657" t="s">
        <v>18</v>
      </c>
      <c r="E657" t="s">
        <v>36</v>
      </c>
      <c r="F657">
        <v>7</v>
      </c>
      <c r="G657">
        <v>40220</v>
      </c>
      <c r="H657" t="s">
        <v>311</v>
      </c>
      <c r="J657">
        <v>5</v>
      </c>
      <c r="K657" t="s">
        <v>54</v>
      </c>
      <c r="L657" t="s">
        <v>22</v>
      </c>
      <c r="M657" t="s">
        <v>47</v>
      </c>
      <c r="N657">
        <v>267463</v>
      </c>
      <c r="O657">
        <v>46532.38</v>
      </c>
      <c r="P657" t="s">
        <v>33</v>
      </c>
      <c r="Q657" t="s">
        <v>25</v>
      </c>
    </row>
    <row r="658" spans="1:17" x14ac:dyDescent="0.25">
      <c r="A658">
        <v>757</v>
      </c>
      <c r="B658" t="s">
        <v>91</v>
      </c>
      <c r="C658" t="s">
        <v>68</v>
      </c>
      <c r="D658" t="s">
        <v>18</v>
      </c>
      <c r="E658" t="s">
        <v>36</v>
      </c>
      <c r="F658">
        <v>7</v>
      </c>
      <c r="G658">
        <v>22083</v>
      </c>
      <c r="H658" t="s">
        <v>180</v>
      </c>
      <c r="J658">
        <v>10</v>
      </c>
      <c r="K658" t="s">
        <v>38</v>
      </c>
      <c r="L658" t="s">
        <v>31</v>
      </c>
      <c r="M658" t="s">
        <v>64</v>
      </c>
      <c r="N658">
        <v>139122.9</v>
      </c>
      <c r="O658">
        <v>26764.73</v>
      </c>
      <c r="P658" t="s">
        <v>24</v>
      </c>
      <c r="Q658" t="s">
        <v>75</v>
      </c>
    </row>
    <row r="659" spans="1:17" x14ac:dyDescent="0.25">
      <c r="A659">
        <v>758</v>
      </c>
      <c r="B659" t="s">
        <v>61</v>
      </c>
      <c r="C659" t="s">
        <v>68</v>
      </c>
      <c r="D659" t="s">
        <v>42</v>
      </c>
      <c r="E659" t="s">
        <v>43</v>
      </c>
      <c r="F659">
        <v>5</v>
      </c>
      <c r="G659">
        <v>74353</v>
      </c>
      <c r="H659" t="s">
        <v>266</v>
      </c>
      <c r="J659">
        <v>5</v>
      </c>
      <c r="K659" t="s">
        <v>58</v>
      </c>
      <c r="L659" t="s">
        <v>22</v>
      </c>
      <c r="M659" t="s">
        <v>23</v>
      </c>
      <c r="N659">
        <v>353176.75</v>
      </c>
      <c r="O659">
        <v>95670.91</v>
      </c>
      <c r="P659" t="s">
        <v>65</v>
      </c>
      <c r="Q659" t="s">
        <v>25</v>
      </c>
    </row>
    <row r="660" spans="1:17" x14ac:dyDescent="0.25">
      <c r="A660">
        <v>759</v>
      </c>
      <c r="B660" t="s">
        <v>109</v>
      </c>
      <c r="C660" t="s">
        <v>17</v>
      </c>
      <c r="D660" t="s">
        <v>76</v>
      </c>
      <c r="E660" t="s">
        <v>101</v>
      </c>
      <c r="F660">
        <v>4</v>
      </c>
      <c r="G660">
        <v>39373</v>
      </c>
      <c r="H660" t="s">
        <v>461</v>
      </c>
      <c r="J660">
        <v>5</v>
      </c>
      <c r="K660" t="s">
        <v>58</v>
      </c>
      <c r="L660" t="s">
        <v>46</v>
      </c>
      <c r="M660" t="s">
        <v>64</v>
      </c>
      <c r="N660">
        <v>149617.4</v>
      </c>
      <c r="O660">
        <v>42454.080000000002</v>
      </c>
      <c r="P660" t="s">
        <v>24</v>
      </c>
      <c r="Q660" t="s">
        <v>25</v>
      </c>
    </row>
    <row r="661" spans="1:17" x14ac:dyDescent="0.25">
      <c r="A661">
        <v>760</v>
      </c>
      <c r="B661" t="s">
        <v>16</v>
      </c>
      <c r="C661" t="s">
        <v>35</v>
      </c>
      <c r="D661" t="s">
        <v>18</v>
      </c>
      <c r="E661" t="s">
        <v>62</v>
      </c>
      <c r="F661">
        <v>10</v>
      </c>
      <c r="G661">
        <v>33058</v>
      </c>
      <c r="H661" t="s">
        <v>89</v>
      </c>
      <c r="J661">
        <v>10</v>
      </c>
      <c r="K661" t="s">
        <v>58</v>
      </c>
      <c r="L661" t="s">
        <v>31</v>
      </c>
      <c r="M661" t="s">
        <v>50</v>
      </c>
      <c r="N661">
        <v>297522</v>
      </c>
      <c r="O661">
        <v>24724.33</v>
      </c>
      <c r="P661" t="s">
        <v>33</v>
      </c>
      <c r="Q661" t="s">
        <v>56</v>
      </c>
    </row>
    <row r="662" spans="1:17" x14ac:dyDescent="0.25">
      <c r="A662">
        <v>761</v>
      </c>
      <c r="B662" t="s">
        <v>61</v>
      </c>
      <c r="C662" t="s">
        <v>17</v>
      </c>
      <c r="D662" t="s">
        <v>69</v>
      </c>
      <c r="E662" t="s">
        <v>98</v>
      </c>
      <c r="F662">
        <v>4</v>
      </c>
      <c r="G662">
        <v>16586</v>
      </c>
      <c r="H662" t="s">
        <v>517</v>
      </c>
      <c r="J662">
        <v>20</v>
      </c>
      <c r="K662" t="s">
        <v>54</v>
      </c>
      <c r="L662" t="s">
        <v>31</v>
      </c>
      <c r="M662" t="s">
        <v>47</v>
      </c>
      <c r="N662">
        <v>53075.199999999997</v>
      </c>
      <c r="O662">
        <v>13035.93</v>
      </c>
      <c r="P662" t="s">
        <v>24</v>
      </c>
      <c r="Q662" t="s">
        <v>75</v>
      </c>
    </row>
    <row r="663" spans="1:17" x14ac:dyDescent="0.25">
      <c r="A663">
        <v>762</v>
      </c>
      <c r="B663" t="s">
        <v>115</v>
      </c>
      <c r="C663" t="s">
        <v>17</v>
      </c>
      <c r="D663" t="s">
        <v>18</v>
      </c>
      <c r="E663" t="s">
        <v>62</v>
      </c>
      <c r="F663">
        <v>8</v>
      </c>
      <c r="G663">
        <v>38252</v>
      </c>
      <c r="H663" t="s">
        <v>274</v>
      </c>
      <c r="J663">
        <v>20</v>
      </c>
      <c r="K663" t="s">
        <v>74</v>
      </c>
      <c r="L663" t="s">
        <v>22</v>
      </c>
      <c r="M663" t="s">
        <v>100</v>
      </c>
      <c r="N663">
        <v>244812.79999999999</v>
      </c>
      <c r="O663">
        <v>47386.98</v>
      </c>
      <c r="P663" t="s">
        <v>33</v>
      </c>
      <c r="Q663" t="s">
        <v>25</v>
      </c>
    </row>
    <row r="664" spans="1:17" x14ac:dyDescent="0.25">
      <c r="A664">
        <v>763</v>
      </c>
      <c r="B664" t="s">
        <v>94</v>
      </c>
      <c r="C664" t="s">
        <v>27</v>
      </c>
      <c r="D664" t="s">
        <v>42</v>
      </c>
      <c r="E664" t="s">
        <v>59</v>
      </c>
      <c r="F664">
        <v>10</v>
      </c>
      <c r="G664">
        <v>73910</v>
      </c>
      <c r="H664" t="s">
        <v>518</v>
      </c>
      <c r="J664">
        <v>5</v>
      </c>
      <c r="K664" t="s">
        <v>21</v>
      </c>
      <c r="L664" t="s">
        <v>22</v>
      </c>
      <c r="M664" t="s">
        <v>50</v>
      </c>
      <c r="N664">
        <v>702145</v>
      </c>
      <c r="O664">
        <v>121442.86</v>
      </c>
      <c r="P664" t="s">
        <v>33</v>
      </c>
      <c r="Q664" t="s">
        <v>25</v>
      </c>
    </row>
    <row r="665" spans="1:17" x14ac:dyDescent="0.25">
      <c r="A665">
        <v>764</v>
      </c>
      <c r="B665" t="s">
        <v>51</v>
      </c>
      <c r="C665" t="s">
        <v>35</v>
      </c>
      <c r="D665" t="s">
        <v>18</v>
      </c>
      <c r="E665" t="s">
        <v>62</v>
      </c>
      <c r="F665">
        <v>5</v>
      </c>
      <c r="G665">
        <v>23930</v>
      </c>
      <c r="H665" t="s">
        <v>519</v>
      </c>
      <c r="J665">
        <v>5</v>
      </c>
      <c r="K665" t="s">
        <v>74</v>
      </c>
      <c r="L665" t="s">
        <v>55</v>
      </c>
      <c r="M665" t="s">
        <v>50</v>
      </c>
      <c r="N665">
        <v>113667.5</v>
      </c>
      <c r="O665">
        <v>24649.22</v>
      </c>
      <c r="P665" t="s">
        <v>40</v>
      </c>
      <c r="Q665" t="s">
        <v>25</v>
      </c>
    </row>
    <row r="666" spans="1:17" x14ac:dyDescent="0.25">
      <c r="A666">
        <v>765</v>
      </c>
      <c r="B666" t="s">
        <v>26</v>
      </c>
      <c r="C666" t="s">
        <v>68</v>
      </c>
      <c r="D666" t="s">
        <v>76</v>
      </c>
      <c r="E666" t="s">
        <v>77</v>
      </c>
      <c r="F666">
        <v>1</v>
      </c>
      <c r="G666">
        <v>74867</v>
      </c>
      <c r="H666" t="s">
        <v>520</v>
      </c>
      <c r="J666">
        <v>15</v>
      </c>
      <c r="K666" t="s">
        <v>74</v>
      </c>
      <c r="L666" t="s">
        <v>55</v>
      </c>
      <c r="M666" t="s">
        <v>100</v>
      </c>
      <c r="N666">
        <v>63636.95</v>
      </c>
      <c r="O666">
        <v>9244.4</v>
      </c>
      <c r="P666" t="s">
        <v>33</v>
      </c>
      <c r="Q666" t="s">
        <v>75</v>
      </c>
    </row>
    <row r="667" spans="1:17" x14ac:dyDescent="0.25">
      <c r="A667">
        <v>766</v>
      </c>
      <c r="B667" t="s">
        <v>79</v>
      </c>
      <c r="C667" t="s">
        <v>17</v>
      </c>
      <c r="D667" t="s">
        <v>42</v>
      </c>
      <c r="E667" t="s">
        <v>43</v>
      </c>
      <c r="F667">
        <v>1</v>
      </c>
      <c r="G667">
        <v>42857</v>
      </c>
      <c r="H667" t="s">
        <v>521</v>
      </c>
      <c r="J667">
        <v>10</v>
      </c>
      <c r="K667" t="s">
        <v>54</v>
      </c>
      <c r="L667" t="s">
        <v>31</v>
      </c>
      <c r="M667" t="s">
        <v>64</v>
      </c>
      <c r="N667">
        <v>38571.300000000003</v>
      </c>
      <c r="O667">
        <v>9202.7999999999993</v>
      </c>
      <c r="P667" t="s">
        <v>24</v>
      </c>
      <c r="Q667" t="s">
        <v>56</v>
      </c>
    </row>
    <row r="668" spans="1:17" x14ac:dyDescent="0.25">
      <c r="A668">
        <v>767</v>
      </c>
      <c r="B668" t="s">
        <v>109</v>
      </c>
      <c r="C668" t="s">
        <v>17</v>
      </c>
      <c r="D668" t="s">
        <v>76</v>
      </c>
      <c r="E668" t="s">
        <v>101</v>
      </c>
      <c r="F668">
        <v>9</v>
      </c>
      <c r="G668">
        <v>7215</v>
      </c>
      <c r="H668" t="s">
        <v>89</v>
      </c>
      <c r="J668">
        <v>15</v>
      </c>
      <c r="K668" t="s">
        <v>21</v>
      </c>
      <c r="L668" t="s">
        <v>55</v>
      </c>
      <c r="M668" t="s">
        <v>32</v>
      </c>
      <c r="N668">
        <v>55194.75</v>
      </c>
      <c r="O668">
        <v>9057.0300000000007</v>
      </c>
      <c r="P668" t="s">
        <v>65</v>
      </c>
      <c r="Q668" t="s">
        <v>25</v>
      </c>
    </row>
    <row r="669" spans="1:17" x14ac:dyDescent="0.25">
      <c r="A669">
        <v>768</v>
      </c>
      <c r="B669" t="s">
        <v>94</v>
      </c>
      <c r="C669" t="s">
        <v>27</v>
      </c>
      <c r="D669" t="s">
        <v>76</v>
      </c>
      <c r="E669" t="s">
        <v>101</v>
      </c>
      <c r="F669">
        <v>3</v>
      </c>
      <c r="G669">
        <v>47754</v>
      </c>
      <c r="H669" t="s">
        <v>522</v>
      </c>
      <c r="J669">
        <v>20</v>
      </c>
      <c r="K669" t="s">
        <v>74</v>
      </c>
      <c r="L669" t="s">
        <v>31</v>
      </c>
      <c r="M669" t="s">
        <v>81</v>
      </c>
      <c r="N669">
        <v>114609.60000000001</v>
      </c>
      <c r="O669">
        <v>31662.959999999999</v>
      </c>
      <c r="P669" t="s">
        <v>24</v>
      </c>
      <c r="Q669" t="s">
        <v>25</v>
      </c>
    </row>
    <row r="670" spans="1:17" x14ac:dyDescent="0.25">
      <c r="A670">
        <v>769</v>
      </c>
      <c r="B670" t="s">
        <v>41</v>
      </c>
      <c r="C670" t="s">
        <v>27</v>
      </c>
      <c r="D670" t="s">
        <v>18</v>
      </c>
      <c r="E670" t="s">
        <v>19</v>
      </c>
      <c r="F670">
        <v>6</v>
      </c>
      <c r="G670">
        <v>69468</v>
      </c>
      <c r="H670" t="s">
        <v>449</v>
      </c>
      <c r="J670">
        <v>5</v>
      </c>
      <c r="K670" t="s">
        <v>54</v>
      </c>
      <c r="L670" t="s">
        <v>46</v>
      </c>
      <c r="M670" t="s">
        <v>32</v>
      </c>
      <c r="N670">
        <v>395967.6</v>
      </c>
      <c r="O670">
        <v>80764.2</v>
      </c>
      <c r="P670" t="s">
        <v>40</v>
      </c>
      <c r="Q670" t="s">
        <v>56</v>
      </c>
    </row>
    <row r="671" spans="1:17" x14ac:dyDescent="0.25">
      <c r="A671">
        <v>770</v>
      </c>
      <c r="B671" t="s">
        <v>41</v>
      </c>
      <c r="C671" t="s">
        <v>35</v>
      </c>
      <c r="D671" t="s">
        <v>69</v>
      </c>
      <c r="E671" t="s">
        <v>70</v>
      </c>
      <c r="F671">
        <v>3</v>
      </c>
      <c r="G671">
        <v>66491</v>
      </c>
      <c r="H671" t="s">
        <v>523</v>
      </c>
      <c r="J671">
        <v>5</v>
      </c>
      <c r="K671" t="s">
        <v>58</v>
      </c>
      <c r="L671" t="s">
        <v>46</v>
      </c>
      <c r="M671" t="s">
        <v>47</v>
      </c>
      <c r="N671">
        <v>189499.35</v>
      </c>
      <c r="O671">
        <v>52882.35</v>
      </c>
      <c r="P671" t="s">
        <v>33</v>
      </c>
      <c r="Q671" t="s">
        <v>75</v>
      </c>
    </row>
    <row r="672" spans="1:17" x14ac:dyDescent="0.25">
      <c r="A672">
        <v>771</v>
      </c>
      <c r="B672" t="s">
        <v>107</v>
      </c>
      <c r="C672" t="s">
        <v>68</v>
      </c>
      <c r="D672" t="s">
        <v>76</v>
      </c>
      <c r="E672" t="s">
        <v>101</v>
      </c>
      <c r="F672">
        <v>1</v>
      </c>
      <c r="G672">
        <v>2486</v>
      </c>
      <c r="H672" t="s">
        <v>524</v>
      </c>
      <c r="J672">
        <v>15</v>
      </c>
      <c r="K672" t="s">
        <v>45</v>
      </c>
      <c r="L672" t="s">
        <v>46</v>
      </c>
      <c r="M672" t="s">
        <v>32</v>
      </c>
      <c r="N672">
        <v>2113.1</v>
      </c>
      <c r="O672">
        <v>276.93</v>
      </c>
      <c r="P672" t="s">
        <v>65</v>
      </c>
      <c r="Q672" t="s">
        <v>75</v>
      </c>
    </row>
    <row r="673" spans="1:17" x14ac:dyDescent="0.25">
      <c r="A673">
        <v>772</v>
      </c>
      <c r="B673" t="s">
        <v>67</v>
      </c>
      <c r="C673" t="s">
        <v>35</v>
      </c>
      <c r="D673" t="s">
        <v>18</v>
      </c>
      <c r="E673" t="s">
        <v>36</v>
      </c>
      <c r="F673">
        <v>8</v>
      </c>
      <c r="G673">
        <v>30084</v>
      </c>
      <c r="H673" t="s">
        <v>525</v>
      </c>
      <c r="J673">
        <v>10</v>
      </c>
      <c r="K673" t="s">
        <v>58</v>
      </c>
      <c r="L673" t="s">
        <v>55</v>
      </c>
      <c r="M673" t="s">
        <v>50</v>
      </c>
      <c r="N673">
        <v>216604.79999999999</v>
      </c>
      <c r="O673">
        <v>30057.360000000001</v>
      </c>
      <c r="P673" t="s">
        <v>24</v>
      </c>
      <c r="Q673" t="s">
        <v>56</v>
      </c>
    </row>
    <row r="674" spans="1:17" x14ac:dyDescent="0.25">
      <c r="A674">
        <v>773</v>
      </c>
      <c r="B674" t="s">
        <v>16</v>
      </c>
      <c r="C674" t="s">
        <v>17</v>
      </c>
      <c r="D674" t="s">
        <v>42</v>
      </c>
      <c r="E674" t="s">
        <v>43</v>
      </c>
      <c r="F674">
        <v>3</v>
      </c>
      <c r="G674">
        <v>23327</v>
      </c>
      <c r="H674" t="s">
        <v>526</v>
      </c>
      <c r="J674">
        <v>0</v>
      </c>
      <c r="K674" t="s">
        <v>38</v>
      </c>
      <c r="L674" t="s">
        <v>46</v>
      </c>
      <c r="M674" t="s">
        <v>81</v>
      </c>
      <c r="N674">
        <v>69981</v>
      </c>
      <c r="O674">
        <v>15889.31</v>
      </c>
      <c r="P674" t="s">
        <v>65</v>
      </c>
      <c r="Q674" t="s">
        <v>75</v>
      </c>
    </row>
    <row r="675" spans="1:17" x14ac:dyDescent="0.25">
      <c r="A675">
        <v>774</v>
      </c>
      <c r="B675" t="s">
        <v>16</v>
      </c>
      <c r="C675" t="s">
        <v>17</v>
      </c>
      <c r="D675" t="s">
        <v>42</v>
      </c>
      <c r="E675" t="s">
        <v>43</v>
      </c>
      <c r="F675">
        <v>10</v>
      </c>
      <c r="G675">
        <v>28990</v>
      </c>
      <c r="H675" t="s">
        <v>470</v>
      </c>
      <c r="J675">
        <v>15</v>
      </c>
      <c r="K675" t="s">
        <v>58</v>
      </c>
      <c r="L675" t="s">
        <v>46</v>
      </c>
      <c r="M675" t="s">
        <v>100</v>
      </c>
      <c r="N675">
        <v>246415</v>
      </c>
      <c r="O675">
        <v>64643.98</v>
      </c>
      <c r="P675" t="s">
        <v>33</v>
      </c>
      <c r="Q675" t="s">
        <v>25</v>
      </c>
    </row>
    <row r="676" spans="1:17" x14ac:dyDescent="0.25">
      <c r="A676">
        <v>775</v>
      </c>
      <c r="B676" t="s">
        <v>91</v>
      </c>
      <c r="C676" t="s">
        <v>27</v>
      </c>
      <c r="D676" t="s">
        <v>42</v>
      </c>
      <c r="E676" t="s">
        <v>59</v>
      </c>
      <c r="F676">
        <v>5</v>
      </c>
      <c r="G676">
        <v>44677</v>
      </c>
      <c r="H676" t="s">
        <v>452</v>
      </c>
      <c r="J676">
        <v>20</v>
      </c>
      <c r="K676" t="s">
        <v>38</v>
      </c>
      <c r="L676" t="s">
        <v>22</v>
      </c>
      <c r="M676" t="s">
        <v>64</v>
      </c>
      <c r="N676">
        <v>178708</v>
      </c>
      <c r="O676">
        <v>23595.279999999999</v>
      </c>
      <c r="P676" t="s">
        <v>40</v>
      </c>
      <c r="Q676" t="s">
        <v>25</v>
      </c>
    </row>
    <row r="677" spans="1:17" x14ac:dyDescent="0.25">
      <c r="A677">
        <v>776</v>
      </c>
      <c r="B677" t="s">
        <v>34</v>
      </c>
      <c r="C677" t="s">
        <v>68</v>
      </c>
      <c r="D677" t="s">
        <v>69</v>
      </c>
      <c r="E677" t="s">
        <v>121</v>
      </c>
      <c r="F677">
        <v>5</v>
      </c>
      <c r="G677">
        <v>15588</v>
      </c>
      <c r="H677" t="s">
        <v>158</v>
      </c>
      <c r="J677">
        <v>10</v>
      </c>
      <c r="K677" t="s">
        <v>54</v>
      </c>
      <c r="L677" t="s">
        <v>31</v>
      </c>
      <c r="M677" t="s">
        <v>50</v>
      </c>
      <c r="N677">
        <v>70146</v>
      </c>
      <c r="O677">
        <v>15106.83</v>
      </c>
      <c r="P677" t="s">
        <v>40</v>
      </c>
      <c r="Q677" t="s">
        <v>56</v>
      </c>
    </row>
    <row r="678" spans="1:17" x14ac:dyDescent="0.25">
      <c r="A678">
        <v>777</v>
      </c>
      <c r="B678" t="s">
        <v>107</v>
      </c>
      <c r="C678" t="s">
        <v>35</v>
      </c>
      <c r="D678" t="s">
        <v>18</v>
      </c>
      <c r="E678" t="s">
        <v>19</v>
      </c>
      <c r="F678">
        <v>9</v>
      </c>
      <c r="G678">
        <v>38243</v>
      </c>
      <c r="H678" t="s">
        <v>527</v>
      </c>
      <c r="J678">
        <v>0</v>
      </c>
      <c r="K678" t="s">
        <v>38</v>
      </c>
      <c r="L678" t="s">
        <v>55</v>
      </c>
      <c r="M678" t="s">
        <v>81</v>
      </c>
      <c r="N678">
        <v>344187</v>
      </c>
      <c r="O678">
        <v>64817.17</v>
      </c>
      <c r="P678" t="s">
        <v>40</v>
      </c>
      <c r="Q678" t="s">
        <v>56</v>
      </c>
    </row>
    <row r="679" spans="1:17" x14ac:dyDescent="0.25">
      <c r="A679">
        <v>778</v>
      </c>
      <c r="B679" t="s">
        <v>61</v>
      </c>
      <c r="C679" t="s">
        <v>68</v>
      </c>
      <c r="D679" t="s">
        <v>76</v>
      </c>
      <c r="E679" t="s">
        <v>101</v>
      </c>
      <c r="F679">
        <v>4</v>
      </c>
      <c r="G679">
        <v>66255</v>
      </c>
      <c r="H679" t="s">
        <v>528</v>
      </c>
      <c r="J679">
        <v>0</v>
      </c>
      <c r="K679" t="s">
        <v>58</v>
      </c>
      <c r="L679" t="s">
        <v>46</v>
      </c>
      <c r="M679" t="s">
        <v>100</v>
      </c>
      <c r="N679">
        <v>265020</v>
      </c>
      <c r="O679">
        <v>30359.87</v>
      </c>
      <c r="P679" t="s">
        <v>24</v>
      </c>
      <c r="Q679" t="s">
        <v>75</v>
      </c>
    </row>
    <row r="680" spans="1:17" x14ac:dyDescent="0.25">
      <c r="A680">
        <v>779</v>
      </c>
      <c r="B680" t="s">
        <v>91</v>
      </c>
      <c r="C680" t="s">
        <v>17</v>
      </c>
      <c r="D680" t="s">
        <v>42</v>
      </c>
      <c r="E680" t="s">
        <v>43</v>
      </c>
      <c r="F680">
        <v>9</v>
      </c>
      <c r="G680">
        <v>5123</v>
      </c>
      <c r="H680" t="s">
        <v>529</v>
      </c>
      <c r="J680">
        <v>20</v>
      </c>
      <c r="K680" t="s">
        <v>58</v>
      </c>
      <c r="L680" t="s">
        <v>46</v>
      </c>
      <c r="M680" t="s">
        <v>100</v>
      </c>
      <c r="N680">
        <v>36885.599999999999</v>
      </c>
      <c r="O680">
        <v>10320.14</v>
      </c>
      <c r="P680" t="s">
        <v>40</v>
      </c>
      <c r="Q680" t="s">
        <v>25</v>
      </c>
    </row>
    <row r="681" spans="1:17" x14ac:dyDescent="0.25">
      <c r="A681">
        <v>780</v>
      </c>
      <c r="B681" t="s">
        <v>109</v>
      </c>
      <c r="C681" t="s">
        <v>68</v>
      </c>
      <c r="D681" t="s">
        <v>69</v>
      </c>
      <c r="E681" t="s">
        <v>98</v>
      </c>
      <c r="F681">
        <v>4</v>
      </c>
      <c r="G681">
        <v>48962</v>
      </c>
      <c r="H681" t="s">
        <v>241</v>
      </c>
      <c r="J681">
        <v>20</v>
      </c>
      <c r="K681" t="s">
        <v>54</v>
      </c>
      <c r="L681" t="s">
        <v>55</v>
      </c>
      <c r="M681" t="s">
        <v>32</v>
      </c>
      <c r="N681">
        <v>156678.39999999999</v>
      </c>
      <c r="O681">
        <v>26032.14</v>
      </c>
      <c r="P681" t="s">
        <v>40</v>
      </c>
      <c r="Q681" t="s">
        <v>25</v>
      </c>
    </row>
    <row r="682" spans="1:17" x14ac:dyDescent="0.25">
      <c r="A682">
        <v>781</v>
      </c>
      <c r="B682" t="s">
        <v>16</v>
      </c>
      <c r="C682" t="s">
        <v>17</v>
      </c>
      <c r="D682" t="s">
        <v>42</v>
      </c>
      <c r="E682" t="s">
        <v>52</v>
      </c>
      <c r="F682">
        <v>8</v>
      </c>
      <c r="G682">
        <v>63926</v>
      </c>
      <c r="H682" t="s">
        <v>530</v>
      </c>
      <c r="J682">
        <v>5</v>
      </c>
      <c r="K682" t="s">
        <v>74</v>
      </c>
      <c r="L682" t="s">
        <v>46</v>
      </c>
      <c r="M682" t="s">
        <v>100</v>
      </c>
      <c r="N682">
        <v>485837.6</v>
      </c>
      <c r="O682">
        <v>50366.21</v>
      </c>
      <c r="P682" t="s">
        <v>40</v>
      </c>
      <c r="Q682" t="s">
        <v>25</v>
      </c>
    </row>
    <row r="683" spans="1:17" x14ac:dyDescent="0.25">
      <c r="A683">
        <v>782</v>
      </c>
      <c r="B683" t="s">
        <v>34</v>
      </c>
      <c r="C683" t="s">
        <v>68</v>
      </c>
      <c r="D683" t="s">
        <v>28</v>
      </c>
      <c r="E683" t="s">
        <v>103</v>
      </c>
      <c r="F683">
        <v>1</v>
      </c>
      <c r="G683">
        <v>56089</v>
      </c>
      <c r="H683" t="s">
        <v>376</v>
      </c>
      <c r="J683">
        <v>20</v>
      </c>
      <c r="K683" t="s">
        <v>74</v>
      </c>
      <c r="L683" t="s">
        <v>46</v>
      </c>
      <c r="M683" t="s">
        <v>81</v>
      </c>
      <c r="N683">
        <v>44871.199999999997</v>
      </c>
      <c r="O683">
        <v>12727.85</v>
      </c>
      <c r="P683" t="s">
        <v>24</v>
      </c>
      <c r="Q683" t="s">
        <v>25</v>
      </c>
    </row>
    <row r="684" spans="1:17" x14ac:dyDescent="0.25">
      <c r="A684">
        <v>783</v>
      </c>
      <c r="B684" t="s">
        <v>41</v>
      </c>
      <c r="C684" t="s">
        <v>27</v>
      </c>
      <c r="D684" t="s">
        <v>76</v>
      </c>
      <c r="E684" t="s">
        <v>101</v>
      </c>
      <c r="F684">
        <v>10</v>
      </c>
      <c r="G684">
        <v>12276</v>
      </c>
      <c r="H684" t="s">
        <v>298</v>
      </c>
      <c r="J684">
        <v>15</v>
      </c>
      <c r="K684" t="s">
        <v>45</v>
      </c>
      <c r="L684" t="s">
        <v>31</v>
      </c>
      <c r="M684" t="s">
        <v>100</v>
      </c>
      <c r="N684">
        <v>104346</v>
      </c>
      <c r="O684">
        <v>14146.78</v>
      </c>
      <c r="P684" t="s">
        <v>24</v>
      </c>
      <c r="Q684" t="s">
        <v>56</v>
      </c>
    </row>
    <row r="685" spans="1:17" x14ac:dyDescent="0.25">
      <c r="A685">
        <v>784</v>
      </c>
      <c r="B685" t="s">
        <v>51</v>
      </c>
      <c r="C685" t="s">
        <v>17</v>
      </c>
      <c r="D685" t="s">
        <v>76</v>
      </c>
      <c r="E685" t="s">
        <v>92</v>
      </c>
      <c r="F685">
        <v>7</v>
      </c>
      <c r="G685">
        <v>36734</v>
      </c>
      <c r="H685" t="s">
        <v>531</v>
      </c>
      <c r="J685">
        <v>5</v>
      </c>
      <c r="K685" t="s">
        <v>74</v>
      </c>
      <c r="L685" t="s">
        <v>31</v>
      </c>
      <c r="M685" t="s">
        <v>100</v>
      </c>
      <c r="N685">
        <v>244281.1</v>
      </c>
      <c r="O685">
        <v>47942.95</v>
      </c>
      <c r="P685" t="s">
        <v>65</v>
      </c>
      <c r="Q685" t="s">
        <v>56</v>
      </c>
    </row>
    <row r="686" spans="1:17" x14ac:dyDescent="0.25">
      <c r="A686">
        <v>785</v>
      </c>
      <c r="B686" t="s">
        <v>79</v>
      </c>
      <c r="C686" t="s">
        <v>27</v>
      </c>
      <c r="D686" t="s">
        <v>18</v>
      </c>
      <c r="E686" t="s">
        <v>36</v>
      </c>
      <c r="F686">
        <v>10</v>
      </c>
      <c r="G686">
        <v>16154</v>
      </c>
      <c r="H686" t="s">
        <v>532</v>
      </c>
      <c r="J686">
        <v>0</v>
      </c>
      <c r="K686" t="s">
        <v>45</v>
      </c>
      <c r="L686" t="s">
        <v>31</v>
      </c>
      <c r="M686" t="s">
        <v>47</v>
      </c>
      <c r="N686">
        <v>161540</v>
      </c>
      <c r="O686">
        <v>26488.09</v>
      </c>
      <c r="P686" t="s">
        <v>40</v>
      </c>
      <c r="Q686" t="s">
        <v>75</v>
      </c>
    </row>
    <row r="687" spans="1:17" x14ac:dyDescent="0.25">
      <c r="A687">
        <v>786</v>
      </c>
      <c r="B687" t="s">
        <v>41</v>
      </c>
      <c r="C687" t="s">
        <v>27</v>
      </c>
      <c r="D687" t="s">
        <v>28</v>
      </c>
      <c r="E687" t="s">
        <v>48</v>
      </c>
      <c r="F687">
        <v>5</v>
      </c>
      <c r="G687">
        <v>66943</v>
      </c>
      <c r="H687" t="s">
        <v>273</v>
      </c>
      <c r="J687">
        <v>15</v>
      </c>
      <c r="K687" t="s">
        <v>54</v>
      </c>
      <c r="L687" t="s">
        <v>31</v>
      </c>
      <c r="M687" t="s">
        <v>50</v>
      </c>
      <c r="N687">
        <v>284507.75</v>
      </c>
      <c r="O687">
        <v>45395.45</v>
      </c>
      <c r="P687" t="s">
        <v>24</v>
      </c>
      <c r="Q687" t="s">
        <v>25</v>
      </c>
    </row>
    <row r="688" spans="1:17" x14ac:dyDescent="0.25">
      <c r="A688">
        <v>787</v>
      </c>
      <c r="B688" t="s">
        <v>107</v>
      </c>
      <c r="C688" t="s">
        <v>27</v>
      </c>
      <c r="D688" t="s">
        <v>28</v>
      </c>
      <c r="E688" t="s">
        <v>29</v>
      </c>
      <c r="F688">
        <v>2</v>
      </c>
      <c r="G688">
        <v>53874</v>
      </c>
      <c r="H688" t="s">
        <v>49</v>
      </c>
      <c r="J688">
        <v>15</v>
      </c>
      <c r="K688" t="s">
        <v>45</v>
      </c>
      <c r="L688" t="s">
        <v>55</v>
      </c>
      <c r="M688" t="s">
        <v>47</v>
      </c>
      <c r="N688">
        <v>91585.8</v>
      </c>
      <c r="O688">
        <v>14119.93</v>
      </c>
      <c r="P688" t="s">
        <v>65</v>
      </c>
      <c r="Q688" t="s">
        <v>56</v>
      </c>
    </row>
    <row r="689" spans="1:17" x14ac:dyDescent="0.25">
      <c r="A689">
        <v>788</v>
      </c>
      <c r="B689" t="s">
        <v>94</v>
      </c>
      <c r="C689" t="s">
        <v>17</v>
      </c>
      <c r="D689" t="s">
        <v>76</v>
      </c>
      <c r="E689" t="s">
        <v>92</v>
      </c>
      <c r="F689">
        <v>4</v>
      </c>
      <c r="G689">
        <v>63634</v>
      </c>
      <c r="H689" t="s">
        <v>178</v>
      </c>
      <c r="J689">
        <v>0</v>
      </c>
      <c r="K689" t="s">
        <v>38</v>
      </c>
      <c r="L689" t="s">
        <v>31</v>
      </c>
      <c r="M689" t="s">
        <v>100</v>
      </c>
      <c r="N689">
        <v>254536</v>
      </c>
      <c r="O689">
        <v>28067.8</v>
      </c>
      <c r="P689" t="s">
        <v>65</v>
      </c>
      <c r="Q689" t="s">
        <v>25</v>
      </c>
    </row>
    <row r="690" spans="1:17" x14ac:dyDescent="0.25">
      <c r="A690">
        <v>789</v>
      </c>
      <c r="B690" t="s">
        <v>26</v>
      </c>
      <c r="C690" t="s">
        <v>35</v>
      </c>
      <c r="D690" t="s">
        <v>18</v>
      </c>
      <c r="E690" t="s">
        <v>36</v>
      </c>
      <c r="F690">
        <v>8</v>
      </c>
      <c r="G690">
        <v>19123</v>
      </c>
      <c r="H690" t="s">
        <v>533</v>
      </c>
      <c r="J690">
        <v>0</v>
      </c>
      <c r="K690" t="s">
        <v>38</v>
      </c>
      <c r="L690" t="s">
        <v>22</v>
      </c>
      <c r="M690" t="s">
        <v>100</v>
      </c>
      <c r="N690">
        <v>152984</v>
      </c>
      <c r="O690">
        <v>29604.27</v>
      </c>
      <c r="P690" t="s">
        <v>33</v>
      </c>
      <c r="Q690" t="s">
        <v>75</v>
      </c>
    </row>
    <row r="691" spans="1:17" x14ac:dyDescent="0.25">
      <c r="A691">
        <v>790</v>
      </c>
      <c r="B691" t="s">
        <v>79</v>
      </c>
      <c r="C691" t="s">
        <v>17</v>
      </c>
      <c r="D691" t="s">
        <v>28</v>
      </c>
      <c r="E691" t="s">
        <v>29</v>
      </c>
      <c r="F691">
        <v>3</v>
      </c>
      <c r="G691">
        <v>72747</v>
      </c>
      <c r="H691" t="s">
        <v>166</v>
      </c>
      <c r="J691">
        <v>20</v>
      </c>
      <c r="K691" t="s">
        <v>58</v>
      </c>
      <c r="L691" t="s">
        <v>31</v>
      </c>
      <c r="M691" t="s">
        <v>39</v>
      </c>
      <c r="N691">
        <v>174592.8</v>
      </c>
      <c r="O691">
        <v>20121.22</v>
      </c>
      <c r="P691" t="s">
        <v>33</v>
      </c>
      <c r="Q691" t="s">
        <v>75</v>
      </c>
    </row>
    <row r="692" spans="1:17" x14ac:dyDescent="0.25">
      <c r="A692">
        <v>791</v>
      </c>
      <c r="B692" t="s">
        <v>41</v>
      </c>
      <c r="C692" t="s">
        <v>27</v>
      </c>
      <c r="D692" t="s">
        <v>42</v>
      </c>
      <c r="E692" t="s">
        <v>43</v>
      </c>
      <c r="F692">
        <v>10</v>
      </c>
      <c r="G692">
        <v>55625</v>
      </c>
      <c r="H692" t="s">
        <v>286</v>
      </c>
      <c r="J692">
        <v>10</v>
      </c>
      <c r="K692" t="s">
        <v>45</v>
      </c>
      <c r="L692" t="s">
        <v>46</v>
      </c>
      <c r="M692" t="s">
        <v>64</v>
      </c>
      <c r="N692">
        <v>500625</v>
      </c>
      <c r="O692">
        <v>81057.3</v>
      </c>
      <c r="P692" t="s">
        <v>33</v>
      </c>
      <c r="Q692" t="s">
        <v>56</v>
      </c>
    </row>
    <row r="693" spans="1:17" x14ac:dyDescent="0.25">
      <c r="A693">
        <v>792</v>
      </c>
      <c r="B693" t="s">
        <v>109</v>
      </c>
      <c r="C693" t="s">
        <v>17</v>
      </c>
      <c r="D693" t="s">
        <v>42</v>
      </c>
      <c r="E693" t="s">
        <v>52</v>
      </c>
      <c r="F693">
        <v>5</v>
      </c>
      <c r="G693">
        <v>47913</v>
      </c>
      <c r="H693" t="s">
        <v>239</v>
      </c>
      <c r="J693">
        <v>0</v>
      </c>
      <c r="K693" t="s">
        <v>58</v>
      </c>
      <c r="L693" t="s">
        <v>46</v>
      </c>
      <c r="M693" t="s">
        <v>47</v>
      </c>
      <c r="N693">
        <v>239565</v>
      </c>
      <c r="O693">
        <v>61829.87</v>
      </c>
      <c r="P693" t="s">
        <v>65</v>
      </c>
      <c r="Q693" t="s">
        <v>75</v>
      </c>
    </row>
    <row r="694" spans="1:17" x14ac:dyDescent="0.25">
      <c r="A694">
        <v>793</v>
      </c>
      <c r="B694" t="s">
        <v>84</v>
      </c>
      <c r="C694" t="s">
        <v>27</v>
      </c>
      <c r="D694" t="s">
        <v>18</v>
      </c>
      <c r="E694" t="s">
        <v>36</v>
      </c>
      <c r="F694">
        <v>3</v>
      </c>
      <c r="G694">
        <v>72734</v>
      </c>
      <c r="H694" t="s">
        <v>346</v>
      </c>
      <c r="J694">
        <v>10</v>
      </c>
      <c r="K694" t="s">
        <v>58</v>
      </c>
      <c r="L694" t="s">
        <v>22</v>
      </c>
      <c r="M694" t="s">
        <v>81</v>
      </c>
      <c r="N694">
        <v>196381.8</v>
      </c>
      <c r="O694">
        <v>57913.98</v>
      </c>
      <c r="P694" t="s">
        <v>33</v>
      </c>
      <c r="Q694" t="s">
        <v>75</v>
      </c>
    </row>
    <row r="695" spans="1:17" x14ac:dyDescent="0.25">
      <c r="A695">
        <v>794</v>
      </c>
      <c r="B695" t="s">
        <v>67</v>
      </c>
      <c r="C695" t="s">
        <v>17</v>
      </c>
      <c r="D695" t="s">
        <v>69</v>
      </c>
      <c r="E695" t="s">
        <v>121</v>
      </c>
      <c r="F695">
        <v>10</v>
      </c>
      <c r="G695">
        <v>42424</v>
      </c>
      <c r="H695" t="s">
        <v>534</v>
      </c>
      <c r="J695">
        <v>15</v>
      </c>
      <c r="K695" t="s">
        <v>74</v>
      </c>
      <c r="L695" t="s">
        <v>55</v>
      </c>
      <c r="M695" t="s">
        <v>47</v>
      </c>
      <c r="N695">
        <v>360604</v>
      </c>
      <c r="O695">
        <v>41722.61</v>
      </c>
      <c r="P695" t="s">
        <v>40</v>
      </c>
      <c r="Q695" t="s">
        <v>56</v>
      </c>
    </row>
    <row r="696" spans="1:17" x14ac:dyDescent="0.25">
      <c r="A696">
        <v>795</v>
      </c>
      <c r="B696" t="s">
        <v>94</v>
      </c>
      <c r="C696" t="s">
        <v>68</v>
      </c>
      <c r="D696" t="s">
        <v>76</v>
      </c>
      <c r="E696" t="s">
        <v>77</v>
      </c>
      <c r="F696">
        <v>4</v>
      </c>
      <c r="G696">
        <v>47015</v>
      </c>
      <c r="H696" t="s">
        <v>535</v>
      </c>
      <c r="J696">
        <v>0</v>
      </c>
      <c r="K696" t="s">
        <v>54</v>
      </c>
      <c r="L696" t="s">
        <v>46</v>
      </c>
      <c r="M696" t="s">
        <v>39</v>
      </c>
      <c r="N696">
        <v>188060</v>
      </c>
      <c r="O696">
        <v>41959.07</v>
      </c>
      <c r="P696" t="s">
        <v>24</v>
      </c>
      <c r="Q696" t="s">
        <v>25</v>
      </c>
    </row>
    <row r="697" spans="1:17" x14ac:dyDescent="0.25">
      <c r="A697">
        <v>796</v>
      </c>
      <c r="B697" t="s">
        <v>79</v>
      </c>
      <c r="C697" t="s">
        <v>35</v>
      </c>
      <c r="D697" t="s">
        <v>18</v>
      </c>
      <c r="E697" t="s">
        <v>19</v>
      </c>
      <c r="F697">
        <v>3</v>
      </c>
      <c r="G697">
        <v>16301</v>
      </c>
      <c r="H697" t="s">
        <v>324</v>
      </c>
      <c r="J697">
        <v>10</v>
      </c>
      <c r="K697" t="s">
        <v>58</v>
      </c>
      <c r="L697" t="s">
        <v>55</v>
      </c>
      <c r="M697" t="s">
        <v>39</v>
      </c>
      <c r="N697">
        <v>44012.7</v>
      </c>
      <c r="O697">
        <v>5887.36</v>
      </c>
      <c r="P697" t="s">
        <v>24</v>
      </c>
      <c r="Q697" t="s">
        <v>25</v>
      </c>
    </row>
    <row r="698" spans="1:17" x14ac:dyDescent="0.25">
      <c r="A698">
        <v>797</v>
      </c>
      <c r="B698" t="s">
        <v>84</v>
      </c>
      <c r="C698" t="s">
        <v>35</v>
      </c>
      <c r="D698" t="s">
        <v>76</v>
      </c>
      <c r="E698" t="s">
        <v>92</v>
      </c>
      <c r="F698">
        <v>5</v>
      </c>
      <c r="G698">
        <v>20292</v>
      </c>
      <c r="H698" t="s">
        <v>536</v>
      </c>
      <c r="J698">
        <v>10</v>
      </c>
      <c r="K698" t="s">
        <v>74</v>
      </c>
      <c r="L698" t="s">
        <v>31</v>
      </c>
      <c r="M698" t="s">
        <v>100</v>
      </c>
      <c r="N698">
        <v>91314</v>
      </c>
      <c r="O698">
        <v>22456.01</v>
      </c>
      <c r="P698" t="s">
        <v>40</v>
      </c>
      <c r="Q698" t="s">
        <v>25</v>
      </c>
    </row>
    <row r="699" spans="1:17" x14ac:dyDescent="0.25">
      <c r="A699">
        <v>798</v>
      </c>
      <c r="B699" t="s">
        <v>16</v>
      </c>
      <c r="C699" t="s">
        <v>27</v>
      </c>
      <c r="D699" t="s">
        <v>69</v>
      </c>
      <c r="E699" t="s">
        <v>98</v>
      </c>
      <c r="F699">
        <v>2</v>
      </c>
      <c r="G699">
        <v>18625</v>
      </c>
      <c r="H699" t="s">
        <v>537</v>
      </c>
      <c r="J699">
        <v>20</v>
      </c>
      <c r="K699" t="s">
        <v>38</v>
      </c>
      <c r="L699" t="s">
        <v>31</v>
      </c>
      <c r="M699" t="s">
        <v>23</v>
      </c>
      <c r="N699">
        <v>29800</v>
      </c>
      <c r="O699">
        <v>3289.12</v>
      </c>
      <c r="P699" t="s">
        <v>24</v>
      </c>
      <c r="Q699" t="s">
        <v>56</v>
      </c>
    </row>
    <row r="700" spans="1:17" x14ac:dyDescent="0.25">
      <c r="A700">
        <v>799</v>
      </c>
      <c r="B700" t="s">
        <v>41</v>
      </c>
      <c r="C700" t="s">
        <v>17</v>
      </c>
      <c r="D700" t="s">
        <v>42</v>
      </c>
      <c r="E700" t="s">
        <v>59</v>
      </c>
      <c r="F700">
        <v>7</v>
      </c>
      <c r="G700">
        <v>33844</v>
      </c>
      <c r="H700" t="s">
        <v>404</v>
      </c>
      <c r="J700">
        <v>20</v>
      </c>
      <c r="K700" t="s">
        <v>45</v>
      </c>
      <c r="L700" t="s">
        <v>46</v>
      </c>
      <c r="M700" t="s">
        <v>47</v>
      </c>
      <c r="N700">
        <v>189526.39999999999</v>
      </c>
      <c r="O700">
        <v>47762.45</v>
      </c>
      <c r="P700" t="s">
        <v>65</v>
      </c>
      <c r="Q700" t="s">
        <v>25</v>
      </c>
    </row>
    <row r="701" spans="1:17" x14ac:dyDescent="0.25">
      <c r="A701">
        <v>800</v>
      </c>
      <c r="B701" t="s">
        <v>96</v>
      </c>
      <c r="C701" t="s">
        <v>27</v>
      </c>
      <c r="D701" t="s">
        <v>28</v>
      </c>
      <c r="E701" t="s">
        <v>29</v>
      </c>
      <c r="F701">
        <v>3</v>
      </c>
      <c r="G701">
        <v>75424</v>
      </c>
      <c r="H701" t="s">
        <v>538</v>
      </c>
      <c r="J701">
        <v>20</v>
      </c>
      <c r="K701" t="s">
        <v>21</v>
      </c>
      <c r="L701" t="s">
        <v>46</v>
      </c>
      <c r="M701" t="s">
        <v>81</v>
      </c>
      <c r="N701">
        <v>181017.60000000001</v>
      </c>
      <c r="O701">
        <v>40865.79</v>
      </c>
      <c r="P701" t="s">
        <v>40</v>
      </c>
      <c r="Q701" t="s">
        <v>75</v>
      </c>
    </row>
    <row r="702" spans="1:17" x14ac:dyDescent="0.25">
      <c r="A702">
        <v>801</v>
      </c>
      <c r="B702" t="s">
        <v>91</v>
      </c>
      <c r="C702" t="s">
        <v>68</v>
      </c>
      <c r="D702" t="s">
        <v>69</v>
      </c>
      <c r="E702" t="s">
        <v>98</v>
      </c>
      <c r="F702">
        <v>4</v>
      </c>
      <c r="G702">
        <v>56957</v>
      </c>
      <c r="H702" t="s">
        <v>119</v>
      </c>
      <c r="J702">
        <v>10</v>
      </c>
      <c r="K702" t="s">
        <v>74</v>
      </c>
      <c r="L702" t="s">
        <v>46</v>
      </c>
      <c r="M702" t="s">
        <v>50</v>
      </c>
      <c r="N702">
        <v>205045.2</v>
      </c>
      <c r="O702">
        <v>50115.75</v>
      </c>
      <c r="P702" t="s">
        <v>24</v>
      </c>
      <c r="Q702" t="s">
        <v>56</v>
      </c>
    </row>
    <row r="703" spans="1:17" x14ac:dyDescent="0.25">
      <c r="A703">
        <v>802</v>
      </c>
      <c r="B703" t="s">
        <v>91</v>
      </c>
      <c r="C703" t="s">
        <v>27</v>
      </c>
      <c r="D703" t="s">
        <v>69</v>
      </c>
      <c r="E703" t="s">
        <v>98</v>
      </c>
      <c r="F703">
        <v>1</v>
      </c>
      <c r="G703">
        <v>31935</v>
      </c>
      <c r="H703" t="s">
        <v>460</v>
      </c>
      <c r="J703">
        <v>5</v>
      </c>
      <c r="K703" t="s">
        <v>45</v>
      </c>
      <c r="L703" t="s">
        <v>55</v>
      </c>
      <c r="M703" t="s">
        <v>47</v>
      </c>
      <c r="N703">
        <v>30338.25</v>
      </c>
      <c r="O703">
        <v>7203.33</v>
      </c>
      <c r="P703" t="s">
        <v>40</v>
      </c>
      <c r="Q703" t="s">
        <v>75</v>
      </c>
    </row>
    <row r="704" spans="1:17" x14ac:dyDescent="0.25">
      <c r="A704">
        <v>803</v>
      </c>
      <c r="B704" t="s">
        <v>61</v>
      </c>
      <c r="C704" t="s">
        <v>35</v>
      </c>
      <c r="D704" t="s">
        <v>18</v>
      </c>
      <c r="E704" t="s">
        <v>19</v>
      </c>
      <c r="F704">
        <v>9</v>
      </c>
      <c r="G704">
        <v>49866</v>
      </c>
      <c r="H704" t="s">
        <v>335</v>
      </c>
      <c r="J704">
        <v>20</v>
      </c>
      <c r="K704" t="s">
        <v>38</v>
      </c>
      <c r="L704" t="s">
        <v>31</v>
      </c>
      <c r="M704" t="s">
        <v>39</v>
      </c>
      <c r="N704">
        <v>359035.2</v>
      </c>
      <c r="O704">
        <v>78298.02</v>
      </c>
      <c r="P704" t="s">
        <v>40</v>
      </c>
      <c r="Q704" t="s">
        <v>56</v>
      </c>
    </row>
    <row r="705" spans="1:17" x14ac:dyDescent="0.25">
      <c r="A705">
        <v>804</v>
      </c>
      <c r="B705" t="s">
        <v>107</v>
      </c>
      <c r="C705" t="s">
        <v>27</v>
      </c>
      <c r="D705" t="s">
        <v>28</v>
      </c>
      <c r="E705" t="s">
        <v>29</v>
      </c>
      <c r="F705">
        <v>2</v>
      </c>
      <c r="G705">
        <v>9777</v>
      </c>
      <c r="H705" t="s">
        <v>428</v>
      </c>
      <c r="J705">
        <v>15</v>
      </c>
      <c r="K705" t="s">
        <v>54</v>
      </c>
      <c r="L705" t="s">
        <v>31</v>
      </c>
      <c r="M705" t="s">
        <v>23</v>
      </c>
      <c r="N705">
        <v>16620.900000000001</v>
      </c>
      <c r="O705">
        <v>2121.91</v>
      </c>
      <c r="P705" t="s">
        <v>33</v>
      </c>
      <c r="Q705" t="s">
        <v>75</v>
      </c>
    </row>
    <row r="706" spans="1:17" x14ac:dyDescent="0.25">
      <c r="A706">
        <v>805</v>
      </c>
      <c r="B706" t="s">
        <v>51</v>
      </c>
      <c r="C706" t="s">
        <v>27</v>
      </c>
      <c r="D706" t="s">
        <v>42</v>
      </c>
      <c r="E706" t="s">
        <v>59</v>
      </c>
      <c r="F706">
        <v>3</v>
      </c>
      <c r="G706">
        <v>42940</v>
      </c>
      <c r="H706" t="s">
        <v>320</v>
      </c>
      <c r="J706">
        <v>10</v>
      </c>
      <c r="K706" t="s">
        <v>21</v>
      </c>
      <c r="L706" t="s">
        <v>22</v>
      </c>
      <c r="M706" t="s">
        <v>47</v>
      </c>
      <c r="N706">
        <v>115938</v>
      </c>
      <c r="O706">
        <v>24096.71</v>
      </c>
      <c r="P706" t="s">
        <v>65</v>
      </c>
      <c r="Q706" t="s">
        <v>25</v>
      </c>
    </row>
    <row r="707" spans="1:17" x14ac:dyDescent="0.25">
      <c r="A707">
        <v>806</v>
      </c>
      <c r="B707" t="s">
        <v>96</v>
      </c>
      <c r="C707" t="s">
        <v>17</v>
      </c>
      <c r="D707" t="s">
        <v>42</v>
      </c>
      <c r="E707" t="s">
        <v>43</v>
      </c>
      <c r="F707">
        <v>3</v>
      </c>
      <c r="G707">
        <v>26977</v>
      </c>
      <c r="H707" t="s">
        <v>193</v>
      </c>
      <c r="J707">
        <v>15</v>
      </c>
      <c r="K707" t="s">
        <v>58</v>
      </c>
      <c r="L707" t="s">
        <v>22</v>
      </c>
      <c r="M707" t="s">
        <v>50</v>
      </c>
      <c r="N707">
        <v>68791.350000000006</v>
      </c>
      <c r="O707">
        <v>18118.32</v>
      </c>
      <c r="P707" t="s">
        <v>33</v>
      </c>
      <c r="Q707" t="s">
        <v>75</v>
      </c>
    </row>
    <row r="708" spans="1:17" x14ac:dyDescent="0.25">
      <c r="A708">
        <v>807</v>
      </c>
      <c r="B708" t="s">
        <v>79</v>
      </c>
      <c r="C708" t="s">
        <v>17</v>
      </c>
      <c r="D708" t="s">
        <v>76</v>
      </c>
      <c r="E708" t="s">
        <v>77</v>
      </c>
      <c r="F708">
        <v>10</v>
      </c>
      <c r="G708">
        <v>8505</v>
      </c>
      <c r="H708" t="s">
        <v>332</v>
      </c>
      <c r="J708">
        <v>0</v>
      </c>
      <c r="K708" t="s">
        <v>38</v>
      </c>
      <c r="L708" t="s">
        <v>55</v>
      </c>
      <c r="M708" t="s">
        <v>50</v>
      </c>
      <c r="N708">
        <v>85050</v>
      </c>
      <c r="O708">
        <v>8555.2999999999993</v>
      </c>
      <c r="P708" t="s">
        <v>24</v>
      </c>
      <c r="Q708" t="s">
        <v>25</v>
      </c>
    </row>
    <row r="709" spans="1:17" x14ac:dyDescent="0.25">
      <c r="A709">
        <v>808</v>
      </c>
      <c r="B709" t="s">
        <v>107</v>
      </c>
      <c r="C709" t="s">
        <v>27</v>
      </c>
      <c r="D709" t="s">
        <v>76</v>
      </c>
      <c r="E709" t="s">
        <v>101</v>
      </c>
      <c r="F709">
        <v>1</v>
      </c>
      <c r="G709">
        <v>70914</v>
      </c>
      <c r="H709" t="s">
        <v>539</v>
      </c>
      <c r="J709">
        <v>5</v>
      </c>
      <c r="K709" t="s">
        <v>74</v>
      </c>
      <c r="L709" t="s">
        <v>46</v>
      </c>
      <c r="M709" t="s">
        <v>100</v>
      </c>
      <c r="N709">
        <v>67368.3</v>
      </c>
      <c r="O709">
        <v>14283.97</v>
      </c>
      <c r="P709" t="s">
        <v>24</v>
      </c>
      <c r="Q709" t="s">
        <v>56</v>
      </c>
    </row>
    <row r="710" spans="1:17" x14ac:dyDescent="0.25">
      <c r="A710">
        <v>809</v>
      </c>
      <c r="B710" t="s">
        <v>107</v>
      </c>
      <c r="C710" t="s">
        <v>27</v>
      </c>
      <c r="D710" t="s">
        <v>18</v>
      </c>
      <c r="E710" t="s">
        <v>62</v>
      </c>
      <c r="F710">
        <v>7</v>
      </c>
      <c r="G710">
        <v>23802</v>
      </c>
      <c r="H710" t="s">
        <v>451</v>
      </c>
      <c r="J710">
        <v>10</v>
      </c>
      <c r="K710" t="s">
        <v>54</v>
      </c>
      <c r="L710" t="s">
        <v>55</v>
      </c>
      <c r="M710" t="s">
        <v>32</v>
      </c>
      <c r="N710">
        <v>149952.6</v>
      </c>
      <c r="O710">
        <v>26598.080000000002</v>
      </c>
      <c r="P710" t="s">
        <v>33</v>
      </c>
      <c r="Q710" t="s">
        <v>75</v>
      </c>
    </row>
    <row r="711" spans="1:17" x14ac:dyDescent="0.25">
      <c r="A711">
        <v>810</v>
      </c>
      <c r="B711" t="s">
        <v>107</v>
      </c>
      <c r="C711" t="s">
        <v>17</v>
      </c>
      <c r="D711" t="s">
        <v>69</v>
      </c>
      <c r="E711" t="s">
        <v>121</v>
      </c>
      <c r="F711">
        <v>7</v>
      </c>
      <c r="G711">
        <v>23331</v>
      </c>
      <c r="H711" t="s">
        <v>540</v>
      </c>
      <c r="J711">
        <v>5</v>
      </c>
      <c r="K711" t="s">
        <v>21</v>
      </c>
      <c r="L711" t="s">
        <v>22</v>
      </c>
      <c r="M711" t="s">
        <v>100</v>
      </c>
      <c r="N711">
        <v>155151.15</v>
      </c>
      <c r="O711">
        <v>12909.81</v>
      </c>
      <c r="P711" t="s">
        <v>65</v>
      </c>
      <c r="Q711" t="s">
        <v>75</v>
      </c>
    </row>
    <row r="712" spans="1:17" x14ac:dyDescent="0.25">
      <c r="A712">
        <v>811</v>
      </c>
      <c r="B712" t="s">
        <v>61</v>
      </c>
      <c r="C712" t="s">
        <v>35</v>
      </c>
      <c r="D712" t="s">
        <v>28</v>
      </c>
      <c r="E712" t="s">
        <v>29</v>
      </c>
      <c r="F712">
        <v>1</v>
      </c>
      <c r="G712">
        <v>63252</v>
      </c>
      <c r="H712" t="s">
        <v>541</v>
      </c>
      <c r="J712">
        <v>0</v>
      </c>
      <c r="K712" t="s">
        <v>58</v>
      </c>
      <c r="L712" t="s">
        <v>22</v>
      </c>
      <c r="M712" t="s">
        <v>100</v>
      </c>
      <c r="N712">
        <v>63252</v>
      </c>
      <c r="O712">
        <v>15221.84</v>
      </c>
      <c r="P712" t="s">
        <v>65</v>
      </c>
      <c r="Q712" t="s">
        <v>56</v>
      </c>
    </row>
    <row r="713" spans="1:17" x14ac:dyDescent="0.25">
      <c r="A713">
        <v>812</v>
      </c>
      <c r="B713" t="s">
        <v>84</v>
      </c>
      <c r="C713" t="s">
        <v>68</v>
      </c>
      <c r="D713" t="s">
        <v>42</v>
      </c>
      <c r="E713" t="s">
        <v>43</v>
      </c>
      <c r="F713">
        <v>10</v>
      </c>
      <c r="G713">
        <v>51156</v>
      </c>
      <c r="H713" t="s">
        <v>542</v>
      </c>
      <c r="J713">
        <v>15</v>
      </c>
      <c r="K713" t="s">
        <v>38</v>
      </c>
      <c r="L713" t="s">
        <v>55</v>
      </c>
      <c r="M713" t="s">
        <v>50</v>
      </c>
      <c r="N713">
        <v>434826</v>
      </c>
      <c r="O713">
        <v>87687.78</v>
      </c>
      <c r="P713" t="s">
        <v>33</v>
      </c>
      <c r="Q713" t="s">
        <v>56</v>
      </c>
    </row>
    <row r="714" spans="1:17" x14ac:dyDescent="0.25">
      <c r="A714">
        <v>813</v>
      </c>
      <c r="B714" t="s">
        <v>96</v>
      </c>
      <c r="C714" t="s">
        <v>17</v>
      </c>
      <c r="D714" t="s">
        <v>28</v>
      </c>
      <c r="E714" t="s">
        <v>103</v>
      </c>
      <c r="F714">
        <v>5</v>
      </c>
      <c r="G714">
        <v>38674</v>
      </c>
      <c r="H714" t="s">
        <v>543</v>
      </c>
      <c r="J714">
        <v>5</v>
      </c>
      <c r="K714" t="s">
        <v>38</v>
      </c>
      <c r="L714" t="s">
        <v>31</v>
      </c>
      <c r="M714" t="s">
        <v>47</v>
      </c>
      <c r="N714">
        <v>183701.5</v>
      </c>
      <c r="O714">
        <v>29127.65</v>
      </c>
      <c r="P714" t="s">
        <v>24</v>
      </c>
      <c r="Q714" t="s">
        <v>56</v>
      </c>
    </row>
    <row r="715" spans="1:17" x14ac:dyDescent="0.25">
      <c r="A715">
        <v>814</v>
      </c>
      <c r="B715" t="s">
        <v>51</v>
      </c>
      <c r="C715" t="s">
        <v>17</v>
      </c>
      <c r="D715" t="s">
        <v>18</v>
      </c>
      <c r="E715" t="s">
        <v>62</v>
      </c>
      <c r="F715">
        <v>8</v>
      </c>
      <c r="G715">
        <v>41001</v>
      </c>
      <c r="H715" t="s">
        <v>544</v>
      </c>
      <c r="J715">
        <v>5</v>
      </c>
      <c r="K715" t="s">
        <v>74</v>
      </c>
      <c r="L715" t="s">
        <v>31</v>
      </c>
      <c r="M715" t="s">
        <v>32</v>
      </c>
      <c r="N715">
        <v>311607.59999999998</v>
      </c>
      <c r="O715">
        <v>38223.26</v>
      </c>
      <c r="P715" t="s">
        <v>33</v>
      </c>
      <c r="Q715" t="s">
        <v>75</v>
      </c>
    </row>
    <row r="716" spans="1:17" x14ac:dyDescent="0.25">
      <c r="A716">
        <v>815</v>
      </c>
      <c r="B716" t="s">
        <v>91</v>
      </c>
      <c r="C716" t="s">
        <v>35</v>
      </c>
      <c r="D716" t="s">
        <v>76</v>
      </c>
      <c r="E716" t="s">
        <v>77</v>
      </c>
      <c r="F716">
        <v>8</v>
      </c>
      <c r="G716">
        <v>61326</v>
      </c>
      <c r="H716" t="s">
        <v>530</v>
      </c>
      <c r="J716">
        <v>0</v>
      </c>
      <c r="K716" t="s">
        <v>74</v>
      </c>
      <c r="L716" t="s">
        <v>46</v>
      </c>
      <c r="M716" t="s">
        <v>32</v>
      </c>
      <c r="N716">
        <v>490608</v>
      </c>
      <c r="O716">
        <v>46225.27</v>
      </c>
      <c r="P716" t="s">
        <v>65</v>
      </c>
      <c r="Q716" t="s">
        <v>75</v>
      </c>
    </row>
    <row r="717" spans="1:17" x14ac:dyDescent="0.25">
      <c r="A717">
        <v>816</v>
      </c>
      <c r="B717" t="s">
        <v>84</v>
      </c>
      <c r="C717" t="s">
        <v>35</v>
      </c>
      <c r="D717" t="s">
        <v>18</v>
      </c>
      <c r="E717" t="s">
        <v>72</v>
      </c>
      <c r="F717">
        <v>6</v>
      </c>
      <c r="G717">
        <v>44612</v>
      </c>
      <c r="H717" t="s">
        <v>132</v>
      </c>
      <c r="J717">
        <v>15</v>
      </c>
      <c r="K717" t="s">
        <v>54</v>
      </c>
      <c r="L717" t="s">
        <v>55</v>
      </c>
      <c r="M717" t="s">
        <v>32</v>
      </c>
      <c r="N717">
        <v>227521.2</v>
      </c>
      <c r="O717">
        <v>38129.57</v>
      </c>
      <c r="P717" t="s">
        <v>40</v>
      </c>
      <c r="Q717" t="s">
        <v>75</v>
      </c>
    </row>
    <row r="718" spans="1:17" x14ac:dyDescent="0.25">
      <c r="A718">
        <v>817</v>
      </c>
      <c r="B718" t="s">
        <v>26</v>
      </c>
      <c r="C718" t="s">
        <v>17</v>
      </c>
      <c r="D718" t="s">
        <v>42</v>
      </c>
      <c r="E718" t="s">
        <v>52</v>
      </c>
      <c r="F718">
        <v>3</v>
      </c>
      <c r="G718">
        <v>60926</v>
      </c>
      <c r="H718" t="s">
        <v>545</v>
      </c>
      <c r="J718">
        <v>15</v>
      </c>
      <c r="K718" t="s">
        <v>58</v>
      </c>
      <c r="L718" t="s">
        <v>22</v>
      </c>
      <c r="M718" t="s">
        <v>39</v>
      </c>
      <c r="N718">
        <v>155361.29999999999</v>
      </c>
      <c r="O718">
        <v>23830.49</v>
      </c>
      <c r="P718" t="s">
        <v>65</v>
      </c>
      <c r="Q718" t="s">
        <v>25</v>
      </c>
    </row>
    <row r="719" spans="1:17" x14ac:dyDescent="0.25">
      <c r="A719">
        <v>818</v>
      </c>
      <c r="B719" t="s">
        <v>51</v>
      </c>
      <c r="C719" t="s">
        <v>68</v>
      </c>
      <c r="D719" t="s">
        <v>76</v>
      </c>
      <c r="E719" t="s">
        <v>101</v>
      </c>
      <c r="F719">
        <v>6</v>
      </c>
      <c r="G719">
        <v>69935</v>
      </c>
      <c r="H719" t="s">
        <v>321</v>
      </c>
      <c r="J719">
        <v>0</v>
      </c>
      <c r="K719" t="s">
        <v>74</v>
      </c>
      <c r="L719" t="s">
        <v>31</v>
      </c>
      <c r="M719" t="s">
        <v>23</v>
      </c>
      <c r="N719">
        <v>419610</v>
      </c>
      <c r="O719">
        <v>92516.64</v>
      </c>
      <c r="P719" t="s">
        <v>65</v>
      </c>
      <c r="Q719" t="s">
        <v>75</v>
      </c>
    </row>
    <row r="720" spans="1:17" x14ac:dyDescent="0.25">
      <c r="A720">
        <v>819</v>
      </c>
      <c r="B720" t="s">
        <v>91</v>
      </c>
      <c r="C720" t="s">
        <v>27</v>
      </c>
      <c r="D720" t="s">
        <v>76</v>
      </c>
      <c r="E720" t="s">
        <v>92</v>
      </c>
      <c r="F720">
        <v>3</v>
      </c>
      <c r="G720">
        <v>66796</v>
      </c>
      <c r="H720" t="s">
        <v>546</v>
      </c>
      <c r="J720">
        <v>15</v>
      </c>
      <c r="K720" t="s">
        <v>45</v>
      </c>
      <c r="L720" t="s">
        <v>31</v>
      </c>
      <c r="M720" t="s">
        <v>32</v>
      </c>
      <c r="N720">
        <v>170329.8</v>
      </c>
      <c r="O720">
        <v>20546.23</v>
      </c>
      <c r="P720" t="s">
        <v>40</v>
      </c>
      <c r="Q720" t="s">
        <v>56</v>
      </c>
    </row>
    <row r="721" spans="1:17" x14ac:dyDescent="0.25">
      <c r="A721">
        <v>820</v>
      </c>
      <c r="B721" t="s">
        <v>96</v>
      </c>
      <c r="C721" t="s">
        <v>35</v>
      </c>
      <c r="D721" t="s">
        <v>76</v>
      </c>
      <c r="E721" t="s">
        <v>101</v>
      </c>
      <c r="F721">
        <v>8</v>
      </c>
      <c r="G721">
        <v>6169</v>
      </c>
      <c r="H721" t="s">
        <v>291</v>
      </c>
      <c r="J721">
        <v>15</v>
      </c>
      <c r="K721" t="s">
        <v>21</v>
      </c>
      <c r="L721" t="s">
        <v>22</v>
      </c>
      <c r="M721" t="s">
        <v>23</v>
      </c>
      <c r="N721">
        <v>41949.2</v>
      </c>
      <c r="O721">
        <v>9299.86</v>
      </c>
      <c r="P721" t="s">
        <v>40</v>
      </c>
      <c r="Q721" t="s">
        <v>56</v>
      </c>
    </row>
    <row r="722" spans="1:17" x14ac:dyDescent="0.25">
      <c r="A722">
        <v>821</v>
      </c>
      <c r="B722" t="s">
        <v>109</v>
      </c>
      <c r="C722" t="s">
        <v>17</v>
      </c>
      <c r="D722" t="s">
        <v>42</v>
      </c>
      <c r="E722" t="s">
        <v>43</v>
      </c>
      <c r="F722">
        <v>5</v>
      </c>
      <c r="G722">
        <v>71647</v>
      </c>
      <c r="H722" t="s">
        <v>547</v>
      </c>
      <c r="J722">
        <v>10</v>
      </c>
      <c r="K722" t="s">
        <v>21</v>
      </c>
      <c r="L722" t="s">
        <v>46</v>
      </c>
      <c r="M722" t="s">
        <v>39</v>
      </c>
      <c r="N722">
        <v>322411.5</v>
      </c>
      <c r="O722">
        <v>74939.72</v>
      </c>
      <c r="P722" t="s">
        <v>40</v>
      </c>
      <c r="Q722" t="s">
        <v>25</v>
      </c>
    </row>
    <row r="723" spans="1:17" x14ac:dyDescent="0.25">
      <c r="A723">
        <v>822</v>
      </c>
      <c r="B723" t="s">
        <v>16</v>
      </c>
      <c r="C723" t="s">
        <v>35</v>
      </c>
      <c r="D723" t="s">
        <v>42</v>
      </c>
      <c r="E723" t="s">
        <v>59</v>
      </c>
      <c r="F723">
        <v>8</v>
      </c>
      <c r="G723">
        <v>45185</v>
      </c>
      <c r="H723" t="s">
        <v>470</v>
      </c>
      <c r="J723">
        <v>5</v>
      </c>
      <c r="K723" t="s">
        <v>45</v>
      </c>
      <c r="L723" t="s">
        <v>46</v>
      </c>
      <c r="M723" t="s">
        <v>39</v>
      </c>
      <c r="N723">
        <v>343406</v>
      </c>
      <c r="O723">
        <v>36382.15</v>
      </c>
      <c r="P723" t="s">
        <v>24</v>
      </c>
      <c r="Q723" t="s">
        <v>25</v>
      </c>
    </row>
    <row r="724" spans="1:17" x14ac:dyDescent="0.25">
      <c r="A724">
        <v>823</v>
      </c>
      <c r="B724" t="s">
        <v>41</v>
      </c>
      <c r="C724" t="s">
        <v>35</v>
      </c>
      <c r="D724" t="s">
        <v>76</v>
      </c>
      <c r="E724" t="s">
        <v>77</v>
      </c>
      <c r="F724">
        <v>7</v>
      </c>
      <c r="G724">
        <v>14855</v>
      </c>
      <c r="H724" t="s">
        <v>314</v>
      </c>
      <c r="J724">
        <v>10</v>
      </c>
      <c r="K724" t="s">
        <v>38</v>
      </c>
      <c r="L724" t="s">
        <v>22</v>
      </c>
      <c r="M724" t="s">
        <v>100</v>
      </c>
      <c r="N724">
        <v>93586.5</v>
      </c>
      <c r="O724">
        <v>26223.78</v>
      </c>
      <c r="P724" t="s">
        <v>65</v>
      </c>
      <c r="Q724" t="s">
        <v>25</v>
      </c>
    </row>
    <row r="725" spans="1:17" x14ac:dyDescent="0.25">
      <c r="A725">
        <v>824</v>
      </c>
      <c r="B725" t="s">
        <v>34</v>
      </c>
      <c r="C725" t="s">
        <v>68</v>
      </c>
      <c r="D725" t="s">
        <v>28</v>
      </c>
      <c r="E725" t="s">
        <v>29</v>
      </c>
      <c r="F725">
        <v>4</v>
      </c>
      <c r="G725">
        <v>50212</v>
      </c>
      <c r="H725" t="s">
        <v>548</v>
      </c>
      <c r="J725">
        <v>20</v>
      </c>
      <c r="K725" t="s">
        <v>45</v>
      </c>
      <c r="L725" t="s">
        <v>46</v>
      </c>
      <c r="M725" t="s">
        <v>32</v>
      </c>
      <c r="N725">
        <v>160678.39999999999</v>
      </c>
      <c r="O725">
        <v>15208.01</v>
      </c>
      <c r="P725" t="s">
        <v>65</v>
      </c>
      <c r="Q725" t="s">
        <v>56</v>
      </c>
    </row>
    <row r="726" spans="1:17" x14ac:dyDescent="0.25">
      <c r="A726">
        <v>825</v>
      </c>
      <c r="B726" t="s">
        <v>84</v>
      </c>
      <c r="C726" t="s">
        <v>35</v>
      </c>
      <c r="D726" t="s">
        <v>76</v>
      </c>
      <c r="E726" t="s">
        <v>77</v>
      </c>
      <c r="F726">
        <v>4</v>
      </c>
      <c r="G726">
        <v>71843</v>
      </c>
      <c r="H726" t="s">
        <v>549</v>
      </c>
      <c r="J726">
        <v>10</v>
      </c>
      <c r="K726" t="s">
        <v>58</v>
      </c>
      <c r="L726" t="s">
        <v>55</v>
      </c>
      <c r="M726" t="s">
        <v>50</v>
      </c>
      <c r="N726">
        <v>258634.8</v>
      </c>
      <c r="O726">
        <v>63899.15</v>
      </c>
      <c r="P726" t="s">
        <v>65</v>
      </c>
      <c r="Q726" t="s">
        <v>56</v>
      </c>
    </row>
    <row r="727" spans="1:17" x14ac:dyDescent="0.25">
      <c r="A727">
        <v>826</v>
      </c>
      <c r="B727" t="s">
        <v>94</v>
      </c>
      <c r="C727" t="s">
        <v>68</v>
      </c>
      <c r="D727" t="s">
        <v>18</v>
      </c>
      <c r="E727" t="s">
        <v>72</v>
      </c>
      <c r="F727">
        <v>2</v>
      </c>
      <c r="G727">
        <v>17703</v>
      </c>
      <c r="H727" t="s">
        <v>456</v>
      </c>
      <c r="J727">
        <v>0</v>
      </c>
      <c r="K727" t="s">
        <v>38</v>
      </c>
      <c r="L727" t="s">
        <v>46</v>
      </c>
      <c r="M727" t="s">
        <v>100</v>
      </c>
      <c r="N727">
        <v>35406</v>
      </c>
      <c r="O727">
        <v>8244.9500000000007</v>
      </c>
      <c r="P727" t="s">
        <v>33</v>
      </c>
      <c r="Q727" t="s">
        <v>56</v>
      </c>
    </row>
    <row r="728" spans="1:17" x14ac:dyDescent="0.25">
      <c r="A728">
        <v>827</v>
      </c>
      <c r="B728" t="s">
        <v>61</v>
      </c>
      <c r="C728" t="s">
        <v>27</v>
      </c>
      <c r="D728" t="s">
        <v>28</v>
      </c>
      <c r="E728" t="s">
        <v>29</v>
      </c>
      <c r="F728">
        <v>3</v>
      </c>
      <c r="G728">
        <v>59882</v>
      </c>
      <c r="H728" t="s">
        <v>196</v>
      </c>
      <c r="J728">
        <v>5</v>
      </c>
      <c r="K728" t="s">
        <v>45</v>
      </c>
      <c r="L728" t="s">
        <v>31</v>
      </c>
      <c r="M728" t="s">
        <v>47</v>
      </c>
      <c r="N728">
        <v>170663.7</v>
      </c>
      <c r="O728">
        <v>14435.51</v>
      </c>
      <c r="P728" t="s">
        <v>33</v>
      </c>
      <c r="Q728" t="s">
        <v>75</v>
      </c>
    </row>
    <row r="729" spans="1:17" x14ac:dyDescent="0.25">
      <c r="A729">
        <v>828</v>
      </c>
      <c r="B729" t="s">
        <v>115</v>
      </c>
      <c r="C729" t="s">
        <v>17</v>
      </c>
      <c r="D729" t="s">
        <v>76</v>
      </c>
      <c r="E729" t="s">
        <v>77</v>
      </c>
      <c r="F729">
        <v>10</v>
      </c>
      <c r="G729">
        <v>47657</v>
      </c>
      <c r="H729" t="s">
        <v>550</v>
      </c>
      <c r="J729">
        <v>5</v>
      </c>
      <c r="K729" t="s">
        <v>38</v>
      </c>
      <c r="L729" t="s">
        <v>46</v>
      </c>
      <c r="M729" t="s">
        <v>50</v>
      </c>
      <c r="N729">
        <v>452741.5</v>
      </c>
      <c r="O729">
        <v>109755.44</v>
      </c>
      <c r="P729" t="s">
        <v>24</v>
      </c>
      <c r="Q729" t="s">
        <v>25</v>
      </c>
    </row>
    <row r="730" spans="1:17" x14ac:dyDescent="0.25">
      <c r="A730">
        <v>829</v>
      </c>
      <c r="B730" t="s">
        <v>67</v>
      </c>
      <c r="C730" t="s">
        <v>17</v>
      </c>
      <c r="D730" t="s">
        <v>42</v>
      </c>
      <c r="E730" t="s">
        <v>43</v>
      </c>
      <c r="F730">
        <v>8</v>
      </c>
      <c r="G730">
        <v>2098</v>
      </c>
      <c r="H730" t="s">
        <v>551</v>
      </c>
      <c r="J730">
        <v>10</v>
      </c>
      <c r="K730" t="s">
        <v>54</v>
      </c>
      <c r="L730" t="s">
        <v>46</v>
      </c>
      <c r="M730" t="s">
        <v>50</v>
      </c>
      <c r="N730">
        <v>15105.6</v>
      </c>
      <c r="O730">
        <v>1531.19</v>
      </c>
      <c r="P730" t="s">
        <v>24</v>
      </c>
      <c r="Q730" t="s">
        <v>75</v>
      </c>
    </row>
    <row r="731" spans="1:17" x14ac:dyDescent="0.25">
      <c r="A731">
        <v>830</v>
      </c>
      <c r="B731" t="s">
        <v>107</v>
      </c>
      <c r="C731" t="s">
        <v>17</v>
      </c>
      <c r="D731" t="s">
        <v>18</v>
      </c>
      <c r="E731" t="s">
        <v>36</v>
      </c>
      <c r="F731">
        <v>2</v>
      </c>
      <c r="G731">
        <v>36492</v>
      </c>
      <c r="H731" t="s">
        <v>481</v>
      </c>
      <c r="J731">
        <v>20</v>
      </c>
      <c r="K731" t="s">
        <v>58</v>
      </c>
      <c r="L731" t="s">
        <v>31</v>
      </c>
      <c r="M731" t="s">
        <v>100</v>
      </c>
      <c r="N731">
        <v>58387.199999999997</v>
      </c>
      <c r="O731">
        <v>8340.74</v>
      </c>
      <c r="P731" t="s">
        <v>65</v>
      </c>
      <c r="Q731" t="s">
        <v>25</v>
      </c>
    </row>
    <row r="732" spans="1:17" x14ac:dyDescent="0.25">
      <c r="A732">
        <v>831</v>
      </c>
      <c r="B732" t="s">
        <v>16</v>
      </c>
      <c r="C732" t="s">
        <v>27</v>
      </c>
      <c r="D732" t="s">
        <v>76</v>
      </c>
      <c r="E732" t="s">
        <v>101</v>
      </c>
      <c r="F732">
        <v>1</v>
      </c>
      <c r="G732">
        <v>9257</v>
      </c>
      <c r="H732" t="s">
        <v>371</v>
      </c>
      <c r="J732">
        <v>15</v>
      </c>
      <c r="K732" t="s">
        <v>54</v>
      </c>
      <c r="L732" t="s">
        <v>46</v>
      </c>
      <c r="M732" t="s">
        <v>32</v>
      </c>
      <c r="N732">
        <v>7868.45</v>
      </c>
      <c r="O732">
        <v>1373.3</v>
      </c>
      <c r="P732" t="s">
        <v>65</v>
      </c>
      <c r="Q732" t="s">
        <v>25</v>
      </c>
    </row>
    <row r="733" spans="1:17" x14ac:dyDescent="0.25">
      <c r="A733">
        <v>832</v>
      </c>
      <c r="B733" t="s">
        <v>41</v>
      </c>
      <c r="C733" t="s">
        <v>17</v>
      </c>
      <c r="D733" t="s">
        <v>42</v>
      </c>
      <c r="E733" t="s">
        <v>59</v>
      </c>
      <c r="F733">
        <v>5</v>
      </c>
      <c r="G733">
        <v>74637</v>
      </c>
      <c r="H733" t="s">
        <v>339</v>
      </c>
      <c r="J733">
        <v>10</v>
      </c>
      <c r="K733" t="s">
        <v>58</v>
      </c>
      <c r="L733" t="s">
        <v>46</v>
      </c>
      <c r="M733" t="s">
        <v>81</v>
      </c>
      <c r="N733">
        <v>335866.5</v>
      </c>
      <c r="O733">
        <v>84592.08</v>
      </c>
      <c r="P733" t="s">
        <v>24</v>
      </c>
      <c r="Q733" t="s">
        <v>75</v>
      </c>
    </row>
    <row r="734" spans="1:17" x14ac:dyDescent="0.25">
      <c r="A734">
        <v>833</v>
      </c>
      <c r="B734" t="s">
        <v>41</v>
      </c>
      <c r="C734" t="s">
        <v>35</v>
      </c>
      <c r="D734" t="s">
        <v>18</v>
      </c>
      <c r="E734" t="s">
        <v>62</v>
      </c>
      <c r="F734">
        <v>7</v>
      </c>
      <c r="G734">
        <v>25121</v>
      </c>
      <c r="H734" t="s">
        <v>552</v>
      </c>
      <c r="J734">
        <v>20</v>
      </c>
      <c r="K734" t="s">
        <v>54</v>
      </c>
      <c r="L734" t="s">
        <v>31</v>
      </c>
      <c r="M734" t="s">
        <v>81</v>
      </c>
      <c r="N734">
        <v>140677.6</v>
      </c>
      <c r="O734">
        <v>28214.68</v>
      </c>
      <c r="P734" t="s">
        <v>40</v>
      </c>
      <c r="Q734" t="s">
        <v>75</v>
      </c>
    </row>
    <row r="735" spans="1:17" x14ac:dyDescent="0.25">
      <c r="A735">
        <v>834</v>
      </c>
      <c r="B735" t="s">
        <v>96</v>
      </c>
      <c r="C735" t="s">
        <v>27</v>
      </c>
      <c r="D735" t="s">
        <v>28</v>
      </c>
      <c r="E735" t="s">
        <v>29</v>
      </c>
      <c r="F735">
        <v>1</v>
      </c>
      <c r="G735">
        <v>32529</v>
      </c>
      <c r="H735" t="s">
        <v>553</v>
      </c>
      <c r="J735">
        <v>10</v>
      </c>
      <c r="K735" t="s">
        <v>74</v>
      </c>
      <c r="L735" t="s">
        <v>46</v>
      </c>
      <c r="M735" t="s">
        <v>23</v>
      </c>
      <c r="N735">
        <v>29276.1</v>
      </c>
      <c r="O735">
        <v>3734.62</v>
      </c>
      <c r="P735" t="s">
        <v>33</v>
      </c>
      <c r="Q735" t="s">
        <v>25</v>
      </c>
    </row>
    <row r="736" spans="1:17" x14ac:dyDescent="0.25">
      <c r="A736">
        <v>835</v>
      </c>
      <c r="B736" t="s">
        <v>26</v>
      </c>
      <c r="C736" t="s">
        <v>35</v>
      </c>
      <c r="D736" t="s">
        <v>18</v>
      </c>
      <c r="E736" t="s">
        <v>72</v>
      </c>
      <c r="F736">
        <v>1</v>
      </c>
      <c r="G736">
        <v>74962</v>
      </c>
      <c r="H736" t="s">
        <v>193</v>
      </c>
      <c r="J736">
        <v>20</v>
      </c>
      <c r="K736" t="s">
        <v>45</v>
      </c>
      <c r="L736" t="s">
        <v>22</v>
      </c>
      <c r="M736" t="s">
        <v>50</v>
      </c>
      <c r="N736">
        <v>59969.599999999999</v>
      </c>
      <c r="O736">
        <v>16880.36</v>
      </c>
      <c r="P736" t="s">
        <v>33</v>
      </c>
      <c r="Q736" t="s">
        <v>25</v>
      </c>
    </row>
    <row r="737" spans="1:17" x14ac:dyDescent="0.25">
      <c r="A737">
        <v>836</v>
      </c>
      <c r="B737" t="s">
        <v>94</v>
      </c>
      <c r="C737" t="s">
        <v>68</v>
      </c>
      <c r="D737" t="s">
        <v>69</v>
      </c>
      <c r="E737" t="s">
        <v>98</v>
      </c>
      <c r="F737">
        <v>10</v>
      </c>
      <c r="G737">
        <v>51707</v>
      </c>
      <c r="H737" t="s">
        <v>246</v>
      </c>
      <c r="J737">
        <v>20</v>
      </c>
      <c r="K737" t="s">
        <v>54</v>
      </c>
      <c r="L737" t="s">
        <v>22</v>
      </c>
      <c r="M737" t="s">
        <v>39</v>
      </c>
      <c r="N737">
        <v>413656</v>
      </c>
      <c r="O737">
        <v>52504.79</v>
      </c>
      <c r="P737" t="s">
        <v>33</v>
      </c>
      <c r="Q737" t="s">
        <v>75</v>
      </c>
    </row>
    <row r="738" spans="1:17" x14ac:dyDescent="0.25">
      <c r="A738">
        <v>837</v>
      </c>
      <c r="B738" t="s">
        <v>84</v>
      </c>
      <c r="C738" t="s">
        <v>35</v>
      </c>
      <c r="D738" t="s">
        <v>18</v>
      </c>
      <c r="E738" t="s">
        <v>62</v>
      </c>
      <c r="F738">
        <v>9</v>
      </c>
      <c r="G738">
        <v>9570</v>
      </c>
      <c r="H738" t="s">
        <v>241</v>
      </c>
      <c r="J738">
        <v>10</v>
      </c>
      <c r="K738" t="s">
        <v>74</v>
      </c>
      <c r="L738" t="s">
        <v>22</v>
      </c>
      <c r="M738" t="s">
        <v>23</v>
      </c>
      <c r="N738">
        <v>77517</v>
      </c>
      <c r="O738">
        <v>8935.16</v>
      </c>
      <c r="P738" t="s">
        <v>40</v>
      </c>
      <c r="Q738" t="s">
        <v>75</v>
      </c>
    </row>
    <row r="739" spans="1:17" x14ac:dyDescent="0.25">
      <c r="A739">
        <v>838</v>
      </c>
      <c r="B739" t="s">
        <v>91</v>
      </c>
      <c r="C739" t="s">
        <v>17</v>
      </c>
      <c r="D739" t="s">
        <v>69</v>
      </c>
      <c r="E739" t="s">
        <v>70</v>
      </c>
      <c r="F739">
        <v>10</v>
      </c>
      <c r="G739">
        <v>58495</v>
      </c>
      <c r="H739" t="s">
        <v>463</v>
      </c>
      <c r="J739">
        <v>5</v>
      </c>
      <c r="K739" t="s">
        <v>58</v>
      </c>
      <c r="L739" t="s">
        <v>31</v>
      </c>
      <c r="M739" t="s">
        <v>32</v>
      </c>
      <c r="N739">
        <v>555702.5</v>
      </c>
      <c r="O739">
        <v>88000.65</v>
      </c>
      <c r="P739" t="s">
        <v>33</v>
      </c>
      <c r="Q739" t="s">
        <v>56</v>
      </c>
    </row>
    <row r="740" spans="1:17" x14ac:dyDescent="0.25">
      <c r="A740">
        <v>839</v>
      </c>
      <c r="B740" t="s">
        <v>109</v>
      </c>
      <c r="C740" t="s">
        <v>68</v>
      </c>
      <c r="D740" t="s">
        <v>18</v>
      </c>
      <c r="E740" t="s">
        <v>62</v>
      </c>
      <c r="F740">
        <v>1</v>
      </c>
      <c r="G740">
        <v>6643</v>
      </c>
      <c r="H740" t="s">
        <v>359</v>
      </c>
      <c r="J740">
        <v>20</v>
      </c>
      <c r="K740" t="s">
        <v>74</v>
      </c>
      <c r="L740" t="s">
        <v>55</v>
      </c>
      <c r="M740" t="s">
        <v>39</v>
      </c>
      <c r="N740">
        <v>5314.4</v>
      </c>
      <c r="O740">
        <v>1031.57</v>
      </c>
      <c r="P740" t="s">
        <v>65</v>
      </c>
      <c r="Q740" t="s">
        <v>75</v>
      </c>
    </row>
    <row r="741" spans="1:17" x14ac:dyDescent="0.25">
      <c r="A741">
        <v>840</v>
      </c>
      <c r="B741" t="s">
        <v>67</v>
      </c>
      <c r="C741" t="s">
        <v>35</v>
      </c>
      <c r="D741" t="s">
        <v>28</v>
      </c>
      <c r="E741" t="s">
        <v>48</v>
      </c>
      <c r="F741">
        <v>4</v>
      </c>
      <c r="G741">
        <v>2255</v>
      </c>
      <c r="H741" t="s">
        <v>554</v>
      </c>
      <c r="J741">
        <v>0</v>
      </c>
      <c r="K741" t="s">
        <v>54</v>
      </c>
      <c r="L741" t="s">
        <v>31</v>
      </c>
      <c r="M741" t="s">
        <v>64</v>
      </c>
      <c r="N741">
        <v>9020</v>
      </c>
      <c r="O741">
        <v>1216.8900000000001</v>
      </c>
      <c r="P741" t="s">
        <v>65</v>
      </c>
      <c r="Q741" t="s">
        <v>25</v>
      </c>
    </row>
    <row r="742" spans="1:17" x14ac:dyDescent="0.25">
      <c r="A742">
        <v>841</v>
      </c>
      <c r="B742" t="s">
        <v>107</v>
      </c>
      <c r="C742" t="s">
        <v>68</v>
      </c>
      <c r="D742" t="s">
        <v>42</v>
      </c>
      <c r="E742" t="s">
        <v>52</v>
      </c>
      <c r="F742">
        <v>6</v>
      </c>
      <c r="G742">
        <v>58449</v>
      </c>
      <c r="H742" t="s">
        <v>78</v>
      </c>
      <c r="J742">
        <v>10</v>
      </c>
      <c r="K742" t="s">
        <v>21</v>
      </c>
      <c r="L742" t="s">
        <v>55</v>
      </c>
      <c r="M742" t="s">
        <v>100</v>
      </c>
      <c r="N742">
        <v>315624.59999999998</v>
      </c>
      <c r="O742">
        <v>47880.74</v>
      </c>
      <c r="P742" t="s">
        <v>24</v>
      </c>
      <c r="Q742" t="s">
        <v>25</v>
      </c>
    </row>
    <row r="743" spans="1:17" x14ac:dyDescent="0.25">
      <c r="A743">
        <v>842</v>
      </c>
      <c r="B743" t="s">
        <v>67</v>
      </c>
      <c r="C743" t="s">
        <v>68</v>
      </c>
      <c r="D743" t="s">
        <v>76</v>
      </c>
      <c r="E743" t="s">
        <v>92</v>
      </c>
      <c r="F743">
        <v>10</v>
      </c>
      <c r="G743">
        <v>13994</v>
      </c>
      <c r="H743" t="s">
        <v>555</v>
      </c>
      <c r="J743">
        <v>15</v>
      </c>
      <c r="K743" t="s">
        <v>74</v>
      </c>
      <c r="L743" t="s">
        <v>31</v>
      </c>
      <c r="M743" t="s">
        <v>39</v>
      </c>
      <c r="N743">
        <v>118949</v>
      </c>
      <c r="O743">
        <v>23040.32</v>
      </c>
      <c r="P743" t="s">
        <v>24</v>
      </c>
      <c r="Q743" t="s">
        <v>75</v>
      </c>
    </row>
    <row r="744" spans="1:17" x14ac:dyDescent="0.25">
      <c r="A744">
        <v>843</v>
      </c>
      <c r="B744" t="s">
        <v>84</v>
      </c>
      <c r="C744" t="s">
        <v>17</v>
      </c>
      <c r="D744" t="s">
        <v>28</v>
      </c>
      <c r="E744" t="s">
        <v>103</v>
      </c>
      <c r="F744">
        <v>1</v>
      </c>
      <c r="G744">
        <v>8027</v>
      </c>
      <c r="H744" t="s">
        <v>524</v>
      </c>
      <c r="J744">
        <v>20</v>
      </c>
      <c r="K744" t="s">
        <v>21</v>
      </c>
      <c r="L744" t="s">
        <v>55</v>
      </c>
      <c r="M744" t="s">
        <v>39</v>
      </c>
      <c r="N744">
        <v>6421.6</v>
      </c>
      <c r="O744">
        <v>934.07</v>
      </c>
      <c r="P744" t="s">
        <v>24</v>
      </c>
      <c r="Q744" t="s">
        <v>56</v>
      </c>
    </row>
    <row r="745" spans="1:17" x14ac:dyDescent="0.25">
      <c r="A745">
        <v>844</v>
      </c>
      <c r="B745" t="s">
        <v>16</v>
      </c>
      <c r="C745" t="s">
        <v>35</v>
      </c>
      <c r="D745" t="s">
        <v>42</v>
      </c>
      <c r="E745" t="s">
        <v>52</v>
      </c>
      <c r="F745">
        <v>10</v>
      </c>
      <c r="G745">
        <v>9726</v>
      </c>
      <c r="H745" t="s">
        <v>392</v>
      </c>
      <c r="J745">
        <v>10</v>
      </c>
      <c r="K745" t="s">
        <v>45</v>
      </c>
      <c r="L745" t="s">
        <v>31</v>
      </c>
      <c r="M745" t="s">
        <v>50</v>
      </c>
      <c r="N745">
        <v>87534</v>
      </c>
      <c r="O745">
        <v>22681.91</v>
      </c>
      <c r="P745" t="s">
        <v>40</v>
      </c>
      <c r="Q745" t="s">
        <v>75</v>
      </c>
    </row>
    <row r="746" spans="1:17" x14ac:dyDescent="0.25">
      <c r="A746">
        <v>845</v>
      </c>
      <c r="B746" t="s">
        <v>51</v>
      </c>
      <c r="C746" t="s">
        <v>17</v>
      </c>
      <c r="D746" t="s">
        <v>42</v>
      </c>
      <c r="E746" t="s">
        <v>43</v>
      </c>
      <c r="F746">
        <v>4</v>
      </c>
      <c r="G746">
        <v>1998</v>
      </c>
      <c r="H746" t="s">
        <v>235</v>
      </c>
      <c r="J746">
        <v>10</v>
      </c>
      <c r="K746" t="s">
        <v>45</v>
      </c>
      <c r="L746" t="s">
        <v>22</v>
      </c>
      <c r="M746" t="s">
        <v>64</v>
      </c>
      <c r="N746">
        <v>7192.8</v>
      </c>
      <c r="O746">
        <v>1133.3</v>
      </c>
      <c r="P746" t="s">
        <v>65</v>
      </c>
      <c r="Q746" t="s">
        <v>25</v>
      </c>
    </row>
    <row r="747" spans="1:17" x14ac:dyDescent="0.25">
      <c r="A747">
        <v>846</v>
      </c>
      <c r="B747" t="s">
        <v>41</v>
      </c>
      <c r="C747" t="s">
        <v>35</v>
      </c>
      <c r="D747" t="s">
        <v>18</v>
      </c>
      <c r="E747" t="s">
        <v>36</v>
      </c>
      <c r="F747">
        <v>1</v>
      </c>
      <c r="G747">
        <v>75453</v>
      </c>
      <c r="H747" t="s">
        <v>556</v>
      </c>
      <c r="J747">
        <v>15</v>
      </c>
      <c r="K747" t="s">
        <v>38</v>
      </c>
      <c r="L747" t="s">
        <v>31</v>
      </c>
      <c r="M747" t="s">
        <v>47</v>
      </c>
      <c r="N747">
        <v>64135.05</v>
      </c>
      <c r="O747">
        <v>9968.25</v>
      </c>
      <c r="P747" t="s">
        <v>40</v>
      </c>
      <c r="Q747" t="s">
        <v>75</v>
      </c>
    </row>
    <row r="748" spans="1:17" x14ac:dyDescent="0.25">
      <c r="A748">
        <v>847</v>
      </c>
      <c r="B748" t="s">
        <v>107</v>
      </c>
      <c r="C748" t="s">
        <v>17</v>
      </c>
      <c r="D748" t="s">
        <v>76</v>
      </c>
      <c r="E748" t="s">
        <v>92</v>
      </c>
      <c r="F748">
        <v>10</v>
      </c>
      <c r="G748">
        <v>67082</v>
      </c>
      <c r="H748" t="s">
        <v>412</v>
      </c>
      <c r="J748">
        <v>5</v>
      </c>
      <c r="K748" t="s">
        <v>45</v>
      </c>
      <c r="L748" t="s">
        <v>22</v>
      </c>
      <c r="M748" t="s">
        <v>81</v>
      </c>
      <c r="N748">
        <v>637279</v>
      </c>
      <c r="O748">
        <v>57840.93</v>
      </c>
      <c r="P748" t="s">
        <v>40</v>
      </c>
      <c r="Q748" t="s">
        <v>56</v>
      </c>
    </row>
    <row r="749" spans="1:17" x14ac:dyDescent="0.25">
      <c r="A749">
        <v>848</v>
      </c>
      <c r="B749" t="s">
        <v>109</v>
      </c>
      <c r="C749" t="s">
        <v>35</v>
      </c>
      <c r="D749" t="s">
        <v>42</v>
      </c>
      <c r="E749" t="s">
        <v>43</v>
      </c>
      <c r="F749">
        <v>3</v>
      </c>
      <c r="G749">
        <v>46655</v>
      </c>
      <c r="H749" t="s">
        <v>78</v>
      </c>
      <c r="J749">
        <v>15</v>
      </c>
      <c r="K749" t="s">
        <v>58</v>
      </c>
      <c r="L749" t="s">
        <v>46</v>
      </c>
      <c r="M749" t="s">
        <v>39</v>
      </c>
      <c r="N749">
        <v>118970.25</v>
      </c>
      <c r="O749">
        <v>34368.07</v>
      </c>
      <c r="P749" t="s">
        <v>40</v>
      </c>
      <c r="Q749" t="s">
        <v>75</v>
      </c>
    </row>
    <row r="750" spans="1:17" x14ac:dyDescent="0.25">
      <c r="A750">
        <v>849</v>
      </c>
      <c r="B750" t="s">
        <v>109</v>
      </c>
      <c r="C750" t="s">
        <v>68</v>
      </c>
      <c r="D750" t="s">
        <v>28</v>
      </c>
      <c r="E750" t="s">
        <v>29</v>
      </c>
      <c r="F750">
        <v>4</v>
      </c>
      <c r="G750">
        <v>23750</v>
      </c>
      <c r="H750" t="s">
        <v>557</v>
      </c>
      <c r="J750">
        <v>15</v>
      </c>
      <c r="K750" t="s">
        <v>54</v>
      </c>
      <c r="L750" t="s">
        <v>55</v>
      </c>
      <c r="M750" t="s">
        <v>23</v>
      </c>
      <c r="N750">
        <v>80750</v>
      </c>
      <c r="O750">
        <v>6984.26</v>
      </c>
      <c r="P750" t="s">
        <v>40</v>
      </c>
      <c r="Q750" t="s">
        <v>75</v>
      </c>
    </row>
    <row r="751" spans="1:17" x14ac:dyDescent="0.25">
      <c r="A751">
        <v>850</v>
      </c>
      <c r="B751" t="s">
        <v>67</v>
      </c>
      <c r="C751" t="s">
        <v>68</v>
      </c>
      <c r="D751" t="s">
        <v>76</v>
      </c>
      <c r="E751" t="s">
        <v>92</v>
      </c>
      <c r="F751">
        <v>6</v>
      </c>
      <c r="G751">
        <v>45136</v>
      </c>
      <c r="H751" t="s">
        <v>540</v>
      </c>
      <c r="J751">
        <v>0</v>
      </c>
      <c r="K751" t="s">
        <v>74</v>
      </c>
      <c r="L751" t="s">
        <v>22</v>
      </c>
      <c r="M751" t="s">
        <v>23</v>
      </c>
      <c r="N751">
        <v>270816</v>
      </c>
      <c r="O751">
        <v>59186.34</v>
      </c>
      <c r="P751" t="s">
        <v>24</v>
      </c>
      <c r="Q751" t="s">
        <v>56</v>
      </c>
    </row>
    <row r="752" spans="1:17" x14ac:dyDescent="0.25">
      <c r="A752">
        <v>851</v>
      </c>
      <c r="B752" t="s">
        <v>107</v>
      </c>
      <c r="C752" t="s">
        <v>35</v>
      </c>
      <c r="D752" t="s">
        <v>18</v>
      </c>
      <c r="E752" t="s">
        <v>72</v>
      </c>
      <c r="F752">
        <v>9</v>
      </c>
      <c r="G752">
        <v>74210</v>
      </c>
      <c r="H752" t="s">
        <v>558</v>
      </c>
      <c r="J752">
        <v>0</v>
      </c>
      <c r="K752" t="s">
        <v>74</v>
      </c>
      <c r="L752" t="s">
        <v>46</v>
      </c>
      <c r="M752" t="s">
        <v>39</v>
      </c>
      <c r="N752">
        <v>667890</v>
      </c>
      <c r="O752">
        <v>170043.47</v>
      </c>
      <c r="P752" t="s">
        <v>33</v>
      </c>
      <c r="Q752" t="s">
        <v>56</v>
      </c>
    </row>
    <row r="753" spans="1:17" x14ac:dyDescent="0.25">
      <c r="A753">
        <v>852</v>
      </c>
      <c r="B753" t="s">
        <v>109</v>
      </c>
      <c r="C753" t="s">
        <v>68</v>
      </c>
      <c r="D753" t="s">
        <v>42</v>
      </c>
      <c r="E753" t="s">
        <v>59</v>
      </c>
      <c r="F753">
        <v>6</v>
      </c>
      <c r="G753">
        <v>39793</v>
      </c>
      <c r="H753" t="s">
        <v>189</v>
      </c>
      <c r="J753">
        <v>0</v>
      </c>
      <c r="K753" t="s">
        <v>45</v>
      </c>
      <c r="L753" t="s">
        <v>46</v>
      </c>
      <c r="M753" t="s">
        <v>64</v>
      </c>
      <c r="N753">
        <v>238758</v>
      </c>
      <c r="O753">
        <v>33130.71</v>
      </c>
      <c r="P753" t="s">
        <v>40</v>
      </c>
      <c r="Q753" t="s">
        <v>25</v>
      </c>
    </row>
    <row r="754" spans="1:17" x14ac:dyDescent="0.25">
      <c r="A754">
        <v>853</v>
      </c>
      <c r="B754" t="s">
        <v>26</v>
      </c>
      <c r="C754" t="s">
        <v>68</v>
      </c>
      <c r="D754" t="s">
        <v>18</v>
      </c>
      <c r="E754" t="s">
        <v>36</v>
      </c>
      <c r="F754">
        <v>5</v>
      </c>
      <c r="G754">
        <v>76237</v>
      </c>
      <c r="H754" t="s">
        <v>497</v>
      </c>
      <c r="J754">
        <v>20</v>
      </c>
      <c r="K754" t="s">
        <v>21</v>
      </c>
      <c r="L754" t="s">
        <v>31</v>
      </c>
      <c r="M754" t="s">
        <v>47</v>
      </c>
      <c r="N754">
        <v>304948</v>
      </c>
      <c r="O754">
        <v>46029.78</v>
      </c>
      <c r="P754" t="s">
        <v>40</v>
      </c>
      <c r="Q754" t="s">
        <v>75</v>
      </c>
    </row>
    <row r="755" spans="1:17" x14ac:dyDescent="0.25">
      <c r="A755">
        <v>854</v>
      </c>
      <c r="B755" t="s">
        <v>67</v>
      </c>
      <c r="C755" t="s">
        <v>17</v>
      </c>
      <c r="D755" t="s">
        <v>69</v>
      </c>
      <c r="E755" t="s">
        <v>98</v>
      </c>
      <c r="F755">
        <v>5</v>
      </c>
      <c r="G755">
        <v>39416</v>
      </c>
      <c r="H755" t="s">
        <v>425</v>
      </c>
      <c r="J755">
        <v>20</v>
      </c>
      <c r="K755" t="s">
        <v>74</v>
      </c>
      <c r="L755" t="s">
        <v>55</v>
      </c>
      <c r="M755" t="s">
        <v>32</v>
      </c>
      <c r="N755">
        <v>157664</v>
      </c>
      <c r="O755">
        <v>27069.69</v>
      </c>
      <c r="P755" t="s">
        <v>40</v>
      </c>
      <c r="Q755" t="s">
        <v>56</v>
      </c>
    </row>
    <row r="756" spans="1:17" x14ac:dyDescent="0.25">
      <c r="A756">
        <v>855</v>
      </c>
      <c r="B756" t="s">
        <v>107</v>
      </c>
      <c r="C756" t="s">
        <v>35</v>
      </c>
      <c r="D756" t="s">
        <v>69</v>
      </c>
      <c r="E756" t="s">
        <v>70</v>
      </c>
      <c r="F756">
        <v>9</v>
      </c>
      <c r="G756">
        <v>79661</v>
      </c>
      <c r="H756" t="s">
        <v>559</v>
      </c>
      <c r="J756">
        <v>0</v>
      </c>
      <c r="K756" t="s">
        <v>54</v>
      </c>
      <c r="L756" t="s">
        <v>55</v>
      </c>
      <c r="M756" t="s">
        <v>39</v>
      </c>
      <c r="N756">
        <v>716949</v>
      </c>
      <c r="O756">
        <v>179087</v>
      </c>
      <c r="P756" t="s">
        <v>24</v>
      </c>
      <c r="Q756" t="s">
        <v>75</v>
      </c>
    </row>
    <row r="757" spans="1:17" x14ac:dyDescent="0.25">
      <c r="A757">
        <v>856</v>
      </c>
      <c r="B757" t="s">
        <v>61</v>
      </c>
      <c r="C757" t="s">
        <v>17</v>
      </c>
      <c r="D757" t="s">
        <v>28</v>
      </c>
      <c r="E757" t="s">
        <v>103</v>
      </c>
      <c r="F757">
        <v>10</v>
      </c>
      <c r="G757">
        <v>79279</v>
      </c>
      <c r="H757" t="s">
        <v>560</v>
      </c>
      <c r="J757">
        <v>0</v>
      </c>
      <c r="K757" t="s">
        <v>74</v>
      </c>
      <c r="L757" t="s">
        <v>22</v>
      </c>
      <c r="M757" t="s">
        <v>39</v>
      </c>
      <c r="N757">
        <v>792790</v>
      </c>
      <c r="O757">
        <v>144962.45000000001</v>
      </c>
      <c r="P757" t="s">
        <v>33</v>
      </c>
      <c r="Q757" t="s">
        <v>56</v>
      </c>
    </row>
    <row r="758" spans="1:17" x14ac:dyDescent="0.25">
      <c r="A758">
        <v>857</v>
      </c>
      <c r="B758" t="s">
        <v>67</v>
      </c>
      <c r="C758" t="s">
        <v>68</v>
      </c>
      <c r="D758" t="s">
        <v>18</v>
      </c>
      <c r="E758" t="s">
        <v>36</v>
      </c>
      <c r="F758">
        <v>1</v>
      </c>
      <c r="G758">
        <v>24759</v>
      </c>
      <c r="H758" t="s">
        <v>253</v>
      </c>
      <c r="J758">
        <v>10</v>
      </c>
      <c r="K758" t="s">
        <v>54</v>
      </c>
      <c r="L758" t="s">
        <v>31</v>
      </c>
      <c r="M758" t="s">
        <v>32</v>
      </c>
      <c r="N758">
        <v>22283.1</v>
      </c>
      <c r="O758">
        <v>2129.1</v>
      </c>
      <c r="P758" t="s">
        <v>65</v>
      </c>
      <c r="Q758" t="s">
        <v>75</v>
      </c>
    </row>
    <row r="759" spans="1:17" x14ac:dyDescent="0.25">
      <c r="A759">
        <v>858</v>
      </c>
      <c r="B759" t="s">
        <v>67</v>
      </c>
      <c r="C759" t="s">
        <v>17</v>
      </c>
      <c r="D759" t="s">
        <v>69</v>
      </c>
      <c r="E759" t="s">
        <v>70</v>
      </c>
      <c r="F759">
        <v>9</v>
      </c>
      <c r="G759">
        <v>69904</v>
      </c>
      <c r="H759" t="s">
        <v>229</v>
      </c>
      <c r="J759">
        <v>10</v>
      </c>
      <c r="K759" t="s">
        <v>74</v>
      </c>
      <c r="L759" t="s">
        <v>31</v>
      </c>
      <c r="M759" t="s">
        <v>47</v>
      </c>
      <c r="N759">
        <v>566222.4</v>
      </c>
      <c r="O759">
        <v>68087.22</v>
      </c>
      <c r="P759" t="s">
        <v>40</v>
      </c>
      <c r="Q759" t="s">
        <v>56</v>
      </c>
    </row>
    <row r="760" spans="1:17" x14ac:dyDescent="0.25">
      <c r="A760">
        <v>859</v>
      </c>
      <c r="B760" t="s">
        <v>34</v>
      </c>
      <c r="C760" t="s">
        <v>17</v>
      </c>
      <c r="D760" t="s">
        <v>18</v>
      </c>
      <c r="E760" t="s">
        <v>19</v>
      </c>
      <c r="F760">
        <v>5</v>
      </c>
      <c r="G760">
        <v>58533</v>
      </c>
      <c r="H760" t="s">
        <v>561</v>
      </c>
      <c r="J760">
        <v>10</v>
      </c>
      <c r="K760" t="s">
        <v>45</v>
      </c>
      <c r="L760" t="s">
        <v>22</v>
      </c>
      <c r="M760" t="s">
        <v>100</v>
      </c>
      <c r="N760">
        <v>263398.5</v>
      </c>
      <c r="O760">
        <v>46883.18</v>
      </c>
      <c r="P760" t="s">
        <v>33</v>
      </c>
      <c r="Q760" t="s">
        <v>25</v>
      </c>
    </row>
    <row r="761" spans="1:17" x14ac:dyDescent="0.25">
      <c r="A761">
        <v>860</v>
      </c>
      <c r="B761" t="s">
        <v>16</v>
      </c>
      <c r="C761" t="s">
        <v>35</v>
      </c>
      <c r="D761" t="s">
        <v>76</v>
      </c>
      <c r="E761" t="s">
        <v>92</v>
      </c>
      <c r="F761">
        <v>5</v>
      </c>
      <c r="G761">
        <v>46527</v>
      </c>
      <c r="H761" t="s">
        <v>157</v>
      </c>
      <c r="J761">
        <v>5</v>
      </c>
      <c r="K761" t="s">
        <v>38</v>
      </c>
      <c r="L761" t="s">
        <v>46</v>
      </c>
      <c r="M761" t="s">
        <v>100</v>
      </c>
      <c r="N761">
        <v>221003.25</v>
      </c>
      <c r="O761">
        <v>63941.89</v>
      </c>
      <c r="P761" t="s">
        <v>40</v>
      </c>
      <c r="Q761" t="s">
        <v>75</v>
      </c>
    </row>
    <row r="762" spans="1:17" x14ac:dyDescent="0.25">
      <c r="A762">
        <v>861</v>
      </c>
      <c r="B762" t="s">
        <v>79</v>
      </c>
      <c r="C762" t="s">
        <v>35</v>
      </c>
      <c r="D762" t="s">
        <v>28</v>
      </c>
      <c r="E762" t="s">
        <v>29</v>
      </c>
      <c r="F762">
        <v>4</v>
      </c>
      <c r="G762">
        <v>68582</v>
      </c>
      <c r="H762" t="s">
        <v>165</v>
      </c>
      <c r="J762">
        <v>10</v>
      </c>
      <c r="K762" t="s">
        <v>38</v>
      </c>
      <c r="L762" t="s">
        <v>46</v>
      </c>
      <c r="M762" t="s">
        <v>64</v>
      </c>
      <c r="N762">
        <v>246895.2</v>
      </c>
      <c r="O762">
        <v>49953.440000000002</v>
      </c>
      <c r="P762" t="s">
        <v>24</v>
      </c>
      <c r="Q762" t="s">
        <v>75</v>
      </c>
    </row>
    <row r="763" spans="1:17" x14ac:dyDescent="0.25">
      <c r="A763">
        <v>862</v>
      </c>
      <c r="B763" t="s">
        <v>91</v>
      </c>
      <c r="C763" t="s">
        <v>27</v>
      </c>
      <c r="D763" t="s">
        <v>76</v>
      </c>
      <c r="E763" t="s">
        <v>92</v>
      </c>
      <c r="F763">
        <v>3</v>
      </c>
      <c r="G763">
        <v>66911</v>
      </c>
      <c r="H763" t="s">
        <v>562</v>
      </c>
      <c r="J763">
        <v>10</v>
      </c>
      <c r="K763" t="s">
        <v>54</v>
      </c>
      <c r="L763" t="s">
        <v>22</v>
      </c>
      <c r="M763" t="s">
        <v>100</v>
      </c>
      <c r="N763">
        <v>180659.7</v>
      </c>
      <c r="O763">
        <v>53869.45</v>
      </c>
      <c r="P763" t="s">
        <v>40</v>
      </c>
      <c r="Q763" t="s">
        <v>25</v>
      </c>
    </row>
    <row r="764" spans="1:17" x14ac:dyDescent="0.25">
      <c r="A764">
        <v>863</v>
      </c>
      <c r="B764" t="s">
        <v>107</v>
      </c>
      <c r="C764" t="s">
        <v>27</v>
      </c>
      <c r="D764" t="s">
        <v>28</v>
      </c>
      <c r="E764" t="s">
        <v>103</v>
      </c>
      <c r="F764">
        <v>7</v>
      </c>
      <c r="G764">
        <v>73748</v>
      </c>
      <c r="H764" t="s">
        <v>350</v>
      </c>
      <c r="J764">
        <v>15</v>
      </c>
      <c r="K764" t="s">
        <v>74</v>
      </c>
      <c r="L764" t="s">
        <v>31</v>
      </c>
      <c r="M764" t="s">
        <v>32</v>
      </c>
      <c r="N764">
        <v>438800.6</v>
      </c>
      <c r="O764">
        <v>56867.47</v>
      </c>
      <c r="P764" t="s">
        <v>24</v>
      </c>
      <c r="Q764" t="s">
        <v>56</v>
      </c>
    </row>
    <row r="765" spans="1:17" x14ac:dyDescent="0.25">
      <c r="A765">
        <v>864</v>
      </c>
      <c r="B765" t="s">
        <v>115</v>
      </c>
      <c r="C765" t="s">
        <v>35</v>
      </c>
      <c r="D765" t="s">
        <v>76</v>
      </c>
      <c r="E765" t="s">
        <v>77</v>
      </c>
      <c r="F765">
        <v>5</v>
      </c>
      <c r="G765">
        <v>49153</v>
      </c>
      <c r="H765" t="s">
        <v>199</v>
      </c>
      <c r="J765">
        <v>20</v>
      </c>
      <c r="K765" t="s">
        <v>45</v>
      </c>
      <c r="L765" t="s">
        <v>55</v>
      </c>
      <c r="M765" t="s">
        <v>81</v>
      </c>
      <c r="N765">
        <v>196612</v>
      </c>
      <c r="O765">
        <v>57301.52</v>
      </c>
      <c r="P765" t="s">
        <v>40</v>
      </c>
      <c r="Q765" t="s">
        <v>56</v>
      </c>
    </row>
    <row r="766" spans="1:17" x14ac:dyDescent="0.25">
      <c r="A766">
        <v>865</v>
      </c>
      <c r="B766" t="s">
        <v>84</v>
      </c>
      <c r="C766" t="s">
        <v>68</v>
      </c>
      <c r="D766" t="s">
        <v>28</v>
      </c>
      <c r="E766" t="s">
        <v>29</v>
      </c>
      <c r="F766">
        <v>10</v>
      </c>
      <c r="G766">
        <v>28067</v>
      </c>
      <c r="H766" t="s">
        <v>131</v>
      </c>
      <c r="J766">
        <v>0</v>
      </c>
      <c r="K766" t="s">
        <v>54</v>
      </c>
      <c r="L766" t="s">
        <v>31</v>
      </c>
      <c r="M766" t="s">
        <v>23</v>
      </c>
      <c r="N766">
        <v>280670</v>
      </c>
      <c r="O766">
        <v>46436.35</v>
      </c>
      <c r="P766" t="s">
        <v>40</v>
      </c>
      <c r="Q766" t="s">
        <v>25</v>
      </c>
    </row>
    <row r="767" spans="1:17" x14ac:dyDescent="0.25">
      <c r="A767">
        <v>866</v>
      </c>
      <c r="B767" t="s">
        <v>91</v>
      </c>
      <c r="C767" t="s">
        <v>35</v>
      </c>
      <c r="D767" t="s">
        <v>69</v>
      </c>
      <c r="E767" t="s">
        <v>98</v>
      </c>
      <c r="F767">
        <v>4</v>
      </c>
      <c r="G767">
        <v>76908</v>
      </c>
      <c r="H767" t="s">
        <v>563</v>
      </c>
      <c r="J767">
        <v>15</v>
      </c>
      <c r="K767" t="s">
        <v>21</v>
      </c>
      <c r="L767" t="s">
        <v>22</v>
      </c>
      <c r="M767" t="s">
        <v>81</v>
      </c>
      <c r="N767">
        <v>261487.2</v>
      </c>
      <c r="O767">
        <v>55730.06</v>
      </c>
      <c r="P767" t="s">
        <v>40</v>
      </c>
      <c r="Q767" t="s">
        <v>56</v>
      </c>
    </row>
    <row r="768" spans="1:17" x14ac:dyDescent="0.25">
      <c r="A768">
        <v>867</v>
      </c>
      <c r="B768" t="s">
        <v>115</v>
      </c>
      <c r="C768" t="s">
        <v>68</v>
      </c>
      <c r="D768" t="s">
        <v>69</v>
      </c>
      <c r="E768" t="s">
        <v>98</v>
      </c>
      <c r="F768">
        <v>8</v>
      </c>
      <c r="G768">
        <v>6469</v>
      </c>
      <c r="H768" t="s">
        <v>564</v>
      </c>
      <c r="J768">
        <v>15</v>
      </c>
      <c r="K768" t="s">
        <v>21</v>
      </c>
      <c r="L768" t="s">
        <v>22</v>
      </c>
      <c r="M768" t="s">
        <v>47</v>
      </c>
      <c r="N768">
        <v>43989.2</v>
      </c>
      <c r="O768">
        <v>9498.56</v>
      </c>
      <c r="P768" t="s">
        <v>33</v>
      </c>
      <c r="Q768" t="s">
        <v>75</v>
      </c>
    </row>
    <row r="769" spans="1:17" x14ac:dyDescent="0.25">
      <c r="A769">
        <v>868</v>
      </c>
      <c r="B769" t="s">
        <v>67</v>
      </c>
      <c r="C769" t="s">
        <v>27</v>
      </c>
      <c r="D769" t="s">
        <v>28</v>
      </c>
      <c r="E769" t="s">
        <v>29</v>
      </c>
      <c r="F769">
        <v>6</v>
      </c>
      <c r="G769">
        <v>39918</v>
      </c>
      <c r="H769" t="s">
        <v>293</v>
      </c>
      <c r="J769">
        <v>10</v>
      </c>
      <c r="K769" t="s">
        <v>58</v>
      </c>
      <c r="L769" t="s">
        <v>55</v>
      </c>
      <c r="M769" t="s">
        <v>47</v>
      </c>
      <c r="N769">
        <v>215557.2</v>
      </c>
      <c r="O769">
        <v>17545.599999999999</v>
      </c>
      <c r="P769" t="s">
        <v>65</v>
      </c>
      <c r="Q769" t="s">
        <v>25</v>
      </c>
    </row>
    <row r="770" spans="1:17" x14ac:dyDescent="0.25">
      <c r="A770">
        <v>869</v>
      </c>
      <c r="B770" t="s">
        <v>84</v>
      </c>
      <c r="C770" t="s">
        <v>35</v>
      </c>
      <c r="D770" t="s">
        <v>76</v>
      </c>
      <c r="E770" t="s">
        <v>101</v>
      </c>
      <c r="F770">
        <v>1</v>
      </c>
      <c r="G770">
        <v>59052</v>
      </c>
      <c r="H770" t="s">
        <v>565</v>
      </c>
      <c r="J770">
        <v>20</v>
      </c>
      <c r="K770" t="s">
        <v>58</v>
      </c>
      <c r="L770" t="s">
        <v>22</v>
      </c>
      <c r="M770" t="s">
        <v>32</v>
      </c>
      <c r="N770">
        <v>47241.599999999999</v>
      </c>
      <c r="O770">
        <v>8910.56</v>
      </c>
      <c r="P770" t="s">
        <v>40</v>
      </c>
      <c r="Q770" t="s">
        <v>56</v>
      </c>
    </row>
    <row r="771" spans="1:17" x14ac:dyDescent="0.25">
      <c r="A771">
        <v>870</v>
      </c>
      <c r="B771" t="s">
        <v>67</v>
      </c>
      <c r="C771" t="s">
        <v>35</v>
      </c>
      <c r="D771" t="s">
        <v>42</v>
      </c>
      <c r="E771" t="s">
        <v>59</v>
      </c>
      <c r="F771">
        <v>10</v>
      </c>
      <c r="G771">
        <v>36749</v>
      </c>
      <c r="H771" t="s">
        <v>130</v>
      </c>
      <c r="J771">
        <v>10</v>
      </c>
      <c r="K771" t="s">
        <v>58</v>
      </c>
      <c r="L771" t="s">
        <v>46</v>
      </c>
      <c r="M771" t="s">
        <v>100</v>
      </c>
      <c r="N771">
        <v>330741</v>
      </c>
      <c r="O771">
        <v>28929.25</v>
      </c>
      <c r="P771" t="s">
        <v>65</v>
      </c>
      <c r="Q771" t="s">
        <v>56</v>
      </c>
    </row>
    <row r="772" spans="1:17" x14ac:dyDescent="0.25">
      <c r="A772">
        <v>871</v>
      </c>
      <c r="B772" t="s">
        <v>84</v>
      </c>
      <c r="C772" t="s">
        <v>27</v>
      </c>
      <c r="D772" t="s">
        <v>69</v>
      </c>
      <c r="E772" t="s">
        <v>70</v>
      </c>
      <c r="F772">
        <v>3</v>
      </c>
      <c r="G772">
        <v>46099</v>
      </c>
      <c r="H772" t="s">
        <v>510</v>
      </c>
      <c r="J772">
        <v>10</v>
      </c>
      <c r="K772" t="s">
        <v>21</v>
      </c>
      <c r="L772" t="s">
        <v>46</v>
      </c>
      <c r="M772" t="s">
        <v>47</v>
      </c>
      <c r="N772">
        <v>124467.3</v>
      </c>
      <c r="O772">
        <v>35260.65</v>
      </c>
      <c r="P772" t="s">
        <v>65</v>
      </c>
      <c r="Q772" t="s">
        <v>25</v>
      </c>
    </row>
    <row r="773" spans="1:17" x14ac:dyDescent="0.25">
      <c r="A773">
        <v>872</v>
      </c>
      <c r="B773" t="s">
        <v>94</v>
      </c>
      <c r="C773" t="s">
        <v>35</v>
      </c>
      <c r="D773" t="s">
        <v>69</v>
      </c>
      <c r="E773" t="s">
        <v>98</v>
      </c>
      <c r="F773">
        <v>9</v>
      </c>
      <c r="G773">
        <v>27764</v>
      </c>
      <c r="H773" t="s">
        <v>566</v>
      </c>
      <c r="J773">
        <v>0</v>
      </c>
      <c r="K773" t="s">
        <v>38</v>
      </c>
      <c r="L773" t="s">
        <v>55</v>
      </c>
      <c r="M773" t="s">
        <v>23</v>
      </c>
      <c r="N773">
        <v>249876</v>
      </c>
      <c r="O773">
        <v>46840.84</v>
      </c>
      <c r="P773" t="s">
        <v>40</v>
      </c>
      <c r="Q773" t="s">
        <v>56</v>
      </c>
    </row>
    <row r="774" spans="1:17" x14ac:dyDescent="0.25">
      <c r="A774">
        <v>873</v>
      </c>
      <c r="B774" t="s">
        <v>61</v>
      </c>
      <c r="C774" t="s">
        <v>35</v>
      </c>
      <c r="D774" t="s">
        <v>18</v>
      </c>
      <c r="E774" t="s">
        <v>62</v>
      </c>
      <c r="F774">
        <v>8</v>
      </c>
      <c r="G774">
        <v>76320</v>
      </c>
      <c r="H774" t="s">
        <v>567</v>
      </c>
      <c r="J774">
        <v>5</v>
      </c>
      <c r="K774" t="s">
        <v>74</v>
      </c>
      <c r="L774" t="s">
        <v>22</v>
      </c>
      <c r="M774" t="s">
        <v>64</v>
      </c>
      <c r="N774">
        <v>580032</v>
      </c>
      <c r="O774">
        <v>159805.47</v>
      </c>
      <c r="P774" t="s">
        <v>24</v>
      </c>
      <c r="Q774" t="s">
        <v>56</v>
      </c>
    </row>
    <row r="775" spans="1:17" x14ac:dyDescent="0.25">
      <c r="A775">
        <v>874</v>
      </c>
      <c r="B775" t="s">
        <v>67</v>
      </c>
      <c r="C775" t="s">
        <v>35</v>
      </c>
      <c r="D775" t="s">
        <v>76</v>
      </c>
      <c r="E775" t="s">
        <v>101</v>
      </c>
      <c r="F775">
        <v>5</v>
      </c>
      <c r="G775">
        <v>76067</v>
      </c>
      <c r="H775" t="s">
        <v>568</v>
      </c>
      <c r="J775">
        <v>20</v>
      </c>
      <c r="K775" t="s">
        <v>58</v>
      </c>
      <c r="L775" t="s">
        <v>31</v>
      </c>
      <c r="M775" t="s">
        <v>32</v>
      </c>
      <c r="N775">
        <v>304268</v>
      </c>
      <c r="O775">
        <v>44993.19</v>
      </c>
      <c r="P775" t="s">
        <v>65</v>
      </c>
      <c r="Q775" t="s">
        <v>56</v>
      </c>
    </row>
    <row r="776" spans="1:17" x14ac:dyDescent="0.25">
      <c r="A776">
        <v>875</v>
      </c>
      <c r="B776" t="s">
        <v>96</v>
      </c>
      <c r="C776" t="s">
        <v>27</v>
      </c>
      <c r="D776" t="s">
        <v>69</v>
      </c>
      <c r="E776" t="s">
        <v>121</v>
      </c>
      <c r="F776">
        <v>6</v>
      </c>
      <c r="G776">
        <v>65215</v>
      </c>
      <c r="H776" t="s">
        <v>294</v>
      </c>
      <c r="J776">
        <v>5</v>
      </c>
      <c r="K776" t="s">
        <v>74</v>
      </c>
      <c r="L776" t="s">
        <v>55</v>
      </c>
      <c r="M776" t="s">
        <v>32</v>
      </c>
      <c r="N776">
        <v>371725.5</v>
      </c>
      <c r="O776">
        <v>30434.400000000001</v>
      </c>
      <c r="P776" t="s">
        <v>24</v>
      </c>
      <c r="Q776" t="s">
        <v>25</v>
      </c>
    </row>
    <row r="777" spans="1:17" x14ac:dyDescent="0.25">
      <c r="A777">
        <v>876</v>
      </c>
      <c r="B777" t="s">
        <v>96</v>
      </c>
      <c r="C777" t="s">
        <v>27</v>
      </c>
      <c r="D777" t="s">
        <v>69</v>
      </c>
      <c r="E777" t="s">
        <v>98</v>
      </c>
      <c r="F777">
        <v>2</v>
      </c>
      <c r="G777">
        <v>7028</v>
      </c>
      <c r="H777" t="s">
        <v>188</v>
      </c>
      <c r="J777">
        <v>20</v>
      </c>
      <c r="K777" t="s">
        <v>74</v>
      </c>
      <c r="L777" t="s">
        <v>31</v>
      </c>
      <c r="M777" t="s">
        <v>39</v>
      </c>
      <c r="N777">
        <v>11244.8</v>
      </c>
      <c r="O777">
        <v>2718.17</v>
      </c>
      <c r="P777" t="s">
        <v>65</v>
      </c>
      <c r="Q777" t="s">
        <v>56</v>
      </c>
    </row>
    <row r="778" spans="1:17" x14ac:dyDescent="0.25">
      <c r="A778">
        <v>877</v>
      </c>
      <c r="B778" t="s">
        <v>51</v>
      </c>
      <c r="C778" t="s">
        <v>68</v>
      </c>
      <c r="D778" t="s">
        <v>76</v>
      </c>
      <c r="E778" t="s">
        <v>92</v>
      </c>
      <c r="F778">
        <v>9</v>
      </c>
      <c r="G778">
        <v>44861</v>
      </c>
      <c r="H778" t="s">
        <v>536</v>
      </c>
      <c r="J778">
        <v>15</v>
      </c>
      <c r="K778" t="s">
        <v>21</v>
      </c>
      <c r="L778" t="s">
        <v>22</v>
      </c>
      <c r="M778" t="s">
        <v>100</v>
      </c>
      <c r="N778">
        <v>343186.65</v>
      </c>
      <c r="O778">
        <v>78435.91</v>
      </c>
      <c r="P778" t="s">
        <v>65</v>
      </c>
      <c r="Q778" t="s">
        <v>56</v>
      </c>
    </row>
    <row r="779" spans="1:17" x14ac:dyDescent="0.25">
      <c r="A779">
        <v>878</v>
      </c>
      <c r="B779" t="s">
        <v>115</v>
      </c>
      <c r="C779" t="s">
        <v>35</v>
      </c>
      <c r="D779" t="s">
        <v>18</v>
      </c>
      <c r="E779" t="s">
        <v>19</v>
      </c>
      <c r="F779">
        <v>7</v>
      </c>
      <c r="G779">
        <v>15832</v>
      </c>
      <c r="H779" t="s">
        <v>284</v>
      </c>
      <c r="J779">
        <v>20</v>
      </c>
      <c r="K779" t="s">
        <v>58</v>
      </c>
      <c r="L779" t="s">
        <v>55</v>
      </c>
      <c r="M779" t="s">
        <v>81</v>
      </c>
      <c r="N779">
        <v>88659.199999999997</v>
      </c>
      <c r="O779">
        <v>18804.62</v>
      </c>
      <c r="P779" t="s">
        <v>40</v>
      </c>
      <c r="Q779" t="s">
        <v>25</v>
      </c>
    </row>
    <row r="780" spans="1:17" x14ac:dyDescent="0.25">
      <c r="A780">
        <v>879</v>
      </c>
      <c r="B780" t="s">
        <v>79</v>
      </c>
      <c r="C780" t="s">
        <v>27</v>
      </c>
      <c r="D780" t="s">
        <v>42</v>
      </c>
      <c r="E780" t="s">
        <v>43</v>
      </c>
      <c r="F780">
        <v>10</v>
      </c>
      <c r="G780">
        <v>629</v>
      </c>
      <c r="H780" t="s">
        <v>337</v>
      </c>
      <c r="J780">
        <v>15</v>
      </c>
      <c r="K780" t="s">
        <v>45</v>
      </c>
      <c r="L780" t="s">
        <v>46</v>
      </c>
      <c r="M780" t="s">
        <v>32</v>
      </c>
      <c r="N780">
        <v>5346.5</v>
      </c>
      <c r="O780">
        <v>987.94</v>
      </c>
      <c r="P780" t="s">
        <v>65</v>
      </c>
      <c r="Q780" t="s">
        <v>25</v>
      </c>
    </row>
    <row r="781" spans="1:17" x14ac:dyDescent="0.25">
      <c r="A781">
        <v>880</v>
      </c>
      <c r="B781" t="s">
        <v>91</v>
      </c>
      <c r="C781" t="s">
        <v>27</v>
      </c>
      <c r="D781" t="s">
        <v>69</v>
      </c>
      <c r="E781" t="s">
        <v>70</v>
      </c>
      <c r="F781">
        <v>10</v>
      </c>
      <c r="G781">
        <v>63981</v>
      </c>
      <c r="H781" t="s">
        <v>569</v>
      </c>
      <c r="J781">
        <v>20</v>
      </c>
      <c r="K781" t="s">
        <v>21</v>
      </c>
      <c r="L781" t="s">
        <v>46</v>
      </c>
      <c r="M781" t="s">
        <v>23</v>
      </c>
      <c r="N781">
        <v>511848</v>
      </c>
      <c r="O781">
        <v>52825.47</v>
      </c>
      <c r="P781" t="s">
        <v>65</v>
      </c>
      <c r="Q781" t="s">
        <v>75</v>
      </c>
    </row>
    <row r="782" spans="1:17" x14ac:dyDescent="0.25">
      <c r="A782">
        <v>881</v>
      </c>
      <c r="B782" t="s">
        <v>34</v>
      </c>
      <c r="C782" t="s">
        <v>35</v>
      </c>
      <c r="D782" t="s">
        <v>42</v>
      </c>
      <c r="E782" t="s">
        <v>59</v>
      </c>
      <c r="F782">
        <v>3</v>
      </c>
      <c r="G782">
        <v>49341</v>
      </c>
      <c r="H782" t="s">
        <v>570</v>
      </c>
      <c r="J782">
        <v>0</v>
      </c>
      <c r="K782" t="s">
        <v>38</v>
      </c>
      <c r="L782" t="s">
        <v>55</v>
      </c>
      <c r="M782" t="s">
        <v>64</v>
      </c>
      <c r="N782">
        <v>148023</v>
      </c>
      <c r="O782">
        <v>34668.17</v>
      </c>
      <c r="P782" t="s">
        <v>40</v>
      </c>
      <c r="Q782" t="s">
        <v>25</v>
      </c>
    </row>
    <row r="783" spans="1:17" x14ac:dyDescent="0.25">
      <c r="A783">
        <v>882</v>
      </c>
      <c r="B783" t="s">
        <v>79</v>
      </c>
      <c r="C783" t="s">
        <v>68</v>
      </c>
      <c r="D783" t="s">
        <v>42</v>
      </c>
      <c r="E783" t="s">
        <v>52</v>
      </c>
      <c r="F783">
        <v>4</v>
      </c>
      <c r="G783">
        <v>54020</v>
      </c>
      <c r="H783" t="s">
        <v>571</v>
      </c>
      <c r="J783">
        <v>15</v>
      </c>
      <c r="K783" t="s">
        <v>74</v>
      </c>
      <c r="L783" t="s">
        <v>46</v>
      </c>
      <c r="M783" t="s">
        <v>23</v>
      </c>
      <c r="N783">
        <v>183668</v>
      </c>
      <c r="O783">
        <v>27357.48</v>
      </c>
      <c r="P783" t="s">
        <v>24</v>
      </c>
      <c r="Q783" t="s">
        <v>56</v>
      </c>
    </row>
    <row r="784" spans="1:17" x14ac:dyDescent="0.25">
      <c r="A784">
        <v>883</v>
      </c>
      <c r="B784" t="s">
        <v>61</v>
      </c>
      <c r="C784" t="s">
        <v>27</v>
      </c>
      <c r="D784" t="s">
        <v>76</v>
      </c>
      <c r="E784" t="s">
        <v>92</v>
      </c>
      <c r="F784">
        <v>8</v>
      </c>
      <c r="G784">
        <v>60565</v>
      </c>
      <c r="H784" t="s">
        <v>340</v>
      </c>
      <c r="J784">
        <v>5</v>
      </c>
      <c r="K784" t="s">
        <v>58</v>
      </c>
      <c r="L784" t="s">
        <v>46</v>
      </c>
      <c r="M784" t="s">
        <v>100</v>
      </c>
      <c r="N784">
        <v>460294</v>
      </c>
      <c r="O784">
        <v>114126.5</v>
      </c>
      <c r="P784" t="s">
        <v>65</v>
      </c>
      <c r="Q784" t="s">
        <v>75</v>
      </c>
    </row>
    <row r="785" spans="1:17" x14ac:dyDescent="0.25">
      <c r="A785">
        <v>884</v>
      </c>
      <c r="B785" t="s">
        <v>41</v>
      </c>
      <c r="C785" t="s">
        <v>27</v>
      </c>
      <c r="D785" t="s">
        <v>28</v>
      </c>
      <c r="E785" t="s">
        <v>29</v>
      </c>
      <c r="F785">
        <v>8</v>
      </c>
      <c r="G785">
        <v>17607</v>
      </c>
      <c r="H785" t="s">
        <v>572</v>
      </c>
      <c r="J785">
        <v>0</v>
      </c>
      <c r="K785" t="s">
        <v>74</v>
      </c>
      <c r="L785" t="s">
        <v>22</v>
      </c>
      <c r="M785" t="s">
        <v>64</v>
      </c>
      <c r="N785">
        <v>140856</v>
      </c>
      <c r="O785">
        <v>31519.29</v>
      </c>
      <c r="P785" t="s">
        <v>40</v>
      </c>
      <c r="Q785" t="s">
        <v>25</v>
      </c>
    </row>
    <row r="786" spans="1:17" x14ac:dyDescent="0.25">
      <c r="A786">
        <v>885</v>
      </c>
      <c r="B786" t="s">
        <v>16</v>
      </c>
      <c r="C786" t="s">
        <v>17</v>
      </c>
      <c r="D786" t="s">
        <v>18</v>
      </c>
      <c r="E786" t="s">
        <v>72</v>
      </c>
      <c r="F786">
        <v>8</v>
      </c>
      <c r="G786">
        <v>10181</v>
      </c>
      <c r="H786" t="s">
        <v>293</v>
      </c>
      <c r="J786">
        <v>5</v>
      </c>
      <c r="K786" t="s">
        <v>45</v>
      </c>
      <c r="L786" t="s">
        <v>31</v>
      </c>
      <c r="M786" t="s">
        <v>32</v>
      </c>
      <c r="N786">
        <v>77375.600000000006</v>
      </c>
      <c r="O786">
        <v>22423.84</v>
      </c>
      <c r="P786" t="s">
        <v>65</v>
      </c>
      <c r="Q786" t="s">
        <v>25</v>
      </c>
    </row>
    <row r="787" spans="1:17" x14ac:dyDescent="0.25">
      <c r="A787">
        <v>886</v>
      </c>
      <c r="B787" t="s">
        <v>115</v>
      </c>
      <c r="C787" t="s">
        <v>68</v>
      </c>
      <c r="D787" t="s">
        <v>69</v>
      </c>
      <c r="E787" t="s">
        <v>121</v>
      </c>
      <c r="F787">
        <v>10</v>
      </c>
      <c r="G787">
        <v>10878</v>
      </c>
      <c r="H787" t="s">
        <v>417</v>
      </c>
      <c r="J787">
        <v>20</v>
      </c>
      <c r="K787" t="s">
        <v>45</v>
      </c>
      <c r="L787" t="s">
        <v>55</v>
      </c>
      <c r="M787" t="s">
        <v>64</v>
      </c>
      <c r="N787">
        <v>87024</v>
      </c>
      <c r="O787">
        <v>10075.42</v>
      </c>
      <c r="P787" t="s">
        <v>65</v>
      </c>
      <c r="Q787" t="s">
        <v>56</v>
      </c>
    </row>
    <row r="788" spans="1:17" x14ac:dyDescent="0.25">
      <c r="A788">
        <v>887</v>
      </c>
      <c r="B788" t="s">
        <v>94</v>
      </c>
      <c r="C788" t="s">
        <v>35</v>
      </c>
      <c r="D788" t="s">
        <v>18</v>
      </c>
      <c r="E788" t="s">
        <v>19</v>
      </c>
      <c r="F788">
        <v>2</v>
      </c>
      <c r="G788">
        <v>3998</v>
      </c>
      <c r="H788" t="s">
        <v>80</v>
      </c>
      <c r="J788">
        <v>0</v>
      </c>
      <c r="K788" t="s">
        <v>54</v>
      </c>
      <c r="L788" t="s">
        <v>31</v>
      </c>
      <c r="M788" t="s">
        <v>100</v>
      </c>
      <c r="N788">
        <v>7996</v>
      </c>
      <c r="O788">
        <v>1568.02</v>
      </c>
      <c r="P788" t="s">
        <v>24</v>
      </c>
      <c r="Q788" t="s">
        <v>25</v>
      </c>
    </row>
    <row r="789" spans="1:17" x14ac:dyDescent="0.25">
      <c r="A789">
        <v>888</v>
      </c>
      <c r="B789" t="s">
        <v>109</v>
      </c>
      <c r="C789" t="s">
        <v>68</v>
      </c>
      <c r="D789" t="s">
        <v>42</v>
      </c>
      <c r="E789" t="s">
        <v>59</v>
      </c>
      <c r="F789">
        <v>5</v>
      </c>
      <c r="G789">
        <v>15848</v>
      </c>
      <c r="H789" t="s">
        <v>568</v>
      </c>
      <c r="J789">
        <v>15</v>
      </c>
      <c r="K789" t="s">
        <v>21</v>
      </c>
      <c r="L789" t="s">
        <v>46</v>
      </c>
      <c r="M789" t="s">
        <v>64</v>
      </c>
      <c r="N789">
        <v>67354</v>
      </c>
      <c r="O789">
        <v>18869.39</v>
      </c>
      <c r="P789" t="s">
        <v>65</v>
      </c>
      <c r="Q789" t="s">
        <v>25</v>
      </c>
    </row>
    <row r="790" spans="1:17" x14ac:dyDescent="0.25">
      <c r="A790">
        <v>889</v>
      </c>
      <c r="B790" t="s">
        <v>94</v>
      </c>
      <c r="C790" t="s">
        <v>17</v>
      </c>
      <c r="D790" t="s">
        <v>76</v>
      </c>
      <c r="E790" t="s">
        <v>77</v>
      </c>
      <c r="F790">
        <v>8</v>
      </c>
      <c r="G790">
        <v>49687</v>
      </c>
      <c r="H790" t="s">
        <v>117</v>
      </c>
      <c r="J790">
        <v>20</v>
      </c>
      <c r="K790" t="s">
        <v>58</v>
      </c>
      <c r="L790" t="s">
        <v>55</v>
      </c>
      <c r="M790" t="s">
        <v>64</v>
      </c>
      <c r="N790">
        <v>317996.79999999999</v>
      </c>
      <c r="O790">
        <v>77368.59</v>
      </c>
      <c r="P790" t="s">
        <v>33</v>
      </c>
      <c r="Q790" t="s">
        <v>75</v>
      </c>
    </row>
    <row r="791" spans="1:17" x14ac:dyDescent="0.25">
      <c r="A791">
        <v>890</v>
      </c>
      <c r="B791" t="s">
        <v>91</v>
      </c>
      <c r="C791" t="s">
        <v>68</v>
      </c>
      <c r="D791" t="s">
        <v>69</v>
      </c>
      <c r="E791" t="s">
        <v>98</v>
      </c>
      <c r="F791">
        <v>5</v>
      </c>
      <c r="G791">
        <v>11948</v>
      </c>
      <c r="H791" t="s">
        <v>573</v>
      </c>
      <c r="J791">
        <v>5</v>
      </c>
      <c r="K791" t="s">
        <v>21</v>
      </c>
      <c r="L791" t="s">
        <v>22</v>
      </c>
      <c r="M791" t="s">
        <v>100</v>
      </c>
      <c r="N791">
        <v>56753</v>
      </c>
      <c r="O791">
        <v>10116.11</v>
      </c>
      <c r="P791" t="s">
        <v>65</v>
      </c>
      <c r="Q791" t="s">
        <v>75</v>
      </c>
    </row>
    <row r="792" spans="1:17" x14ac:dyDescent="0.25">
      <c r="A792">
        <v>891</v>
      </c>
      <c r="B792" t="s">
        <v>107</v>
      </c>
      <c r="C792" t="s">
        <v>17</v>
      </c>
      <c r="D792" t="s">
        <v>18</v>
      </c>
      <c r="E792" t="s">
        <v>72</v>
      </c>
      <c r="F792">
        <v>3</v>
      </c>
      <c r="G792">
        <v>2308</v>
      </c>
      <c r="H792" t="s">
        <v>99</v>
      </c>
      <c r="J792">
        <v>20</v>
      </c>
      <c r="K792" t="s">
        <v>21</v>
      </c>
      <c r="L792" t="s">
        <v>22</v>
      </c>
      <c r="M792" t="s">
        <v>81</v>
      </c>
      <c r="N792">
        <v>5539.2</v>
      </c>
      <c r="O792">
        <v>1194.51</v>
      </c>
      <c r="P792" t="s">
        <v>33</v>
      </c>
      <c r="Q792" t="s">
        <v>56</v>
      </c>
    </row>
    <row r="793" spans="1:17" x14ac:dyDescent="0.25">
      <c r="A793">
        <v>892</v>
      </c>
      <c r="B793" t="s">
        <v>41</v>
      </c>
      <c r="C793" t="s">
        <v>17</v>
      </c>
      <c r="D793" t="s">
        <v>28</v>
      </c>
      <c r="E793" t="s">
        <v>103</v>
      </c>
      <c r="F793">
        <v>2</v>
      </c>
      <c r="G793">
        <v>31853</v>
      </c>
      <c r="H793" t="s">
        <v>544</v>
      </c>
      <c r="J793">
        <v>0</v>
      </c>
      <c r="K793" t="s">
        <v>54</v>
      </c>
      <c r="L793" t="s">
        <v>46</v>
      </c>
      <c r="M793" t="s">
        <v>23</v>
      </c>
      <c r="N793">
        <v>63706</v>
      </c>
      <c r="O793">
        <v>18077.509999999998</v>
      </c>
      <c r="P793" t="s">
        <v>33</v>
      </c>
      <c r="Q793" t="s">
        <v>75</v>
      </c>
    </row>
    <row r="794" spans="1:17" x14ac:dyDescent="0.25">
      <c r="A794">
        <v>893</v>
      </c>
      <c r="B794" t="s">
        <v>61</v>
      </c>
      <c r="C794" t="s">
        <v>68</v>
      </c>
      <c r="D794" t="s">
        <v>69</v>
      </c>
      <c r="E794" t="s">
        <v>70</v>
      </c>
      <c r="F794">
        <v>8</v>
      </c>
      <c r="G794">
        <v>79771</v>
      </c>
      <c r="H794" t="s">
        <v>310</v>
      </c>
      <c r="J794">
        <v>20</v>
      </c>
      <c r="K794" t="s">
        <v>54</v>
      </c>
      <c r="L794" t="s">
        <v>46</v>
      </c>
      <c r="M794" t="s">
        <v>39</v>
      </c>
      <c r="N794">
        <v>510534.40000000002</v>
      </c>
      <c r="O794">
        <v>68421.89</v>
      </c>
      <c r="P794" t="s">
        <v>40</v>
      </c>
      <c r="Q794" t="s">
        <v>56</v>
      </c>
    </row>
    <row r="795" spans="1:17" x14ac:dyDescent="0.25">
      <c r="A795">
        <v>894</v>
      </c>
      <c r="B795" t="s">
        <v>94</v>
      </c>
      <c r="C795" t="s">
        <v>27</v>
      </c>
      <c r="D795" t="s">
        <v>76</v>
      </c>
      <c r="E795" t="s">
        <v>77</v>
      </c>
      <c r="F795">
        <v>5</v>
      </c>
      <c r="G795">
        <v>73674</v>
      </c>
      <c r="H795" t="s">
        <v>274</v>
      </c>
      <c r="J795">
        <v>0</v>
      </c>
      <c r="K795" t="s">
        <v>74</v>
      </c>
      <c r="L795" t="s">
        <v>46</v>
      </c>
      <c r="M795" t="s">
        <v>32</v>
      </c>
      <c r="N795">
        <v>368370</v>
      </c>
      <c r="O795">
        <v>93835.86</v>
      </c>
      <c r="P795" t="s">
        <v>33</v>
      </c>
      <c r="Q795" t="s">
        <v>56</v>
      </c>
    </row>
    <row r="796" spans="1:17" x14ac:dyDescent="0.25">
      <c r="A796">
        <v>895</v>
      </c>
      <c r="B796" t="s">
        <v>84</v>
      </c>
      <c r="C796" t="s">
        <v>35</v>
      </c>
      <c r="D796" t="s">
        <v>18</v>
      </c>
      <c r="E796" t="s">
        <v>72</v>
      </c>
      <c r="F796">
        <v>10</v>
      </c>
      <c r="G796">
        <v>68353</v>
      </c>
      <c r="H796" t="s">
        <v>168</v>
      </c>
      <c r="J796">
        <v>15</v>
      </c>
      <c r="K796" t="s">
        <v>21</v>
      </c>
      <c r="L796" t="s">
        <v>46</v>
      </c>
      <c r="M796" t="s">
        <v>32</v>
      </c>
      <c r="N796">
        <v>581000.5</v>
      </c>
      <c r="O796">
        <v>167489.9</v>
      </c>
      <c r="P796" t="s">
        <v>24</v>
      </c>
      <c r="Q796" t="s">
        <v>56</v>
      </c>
    </row>
    <row r="797" spans="1:17" x14ac:dyDescent="0.25">
      <c r="A797">
        <v>896</v>
      </c>
      <c r="B797" t="s">
        <v>51</v>
      </c>
      <c r="C797" t="s">
        <v>68</v>
      </c>
      <c r="D797" t="s">
        <v>28</v>
      </c>
      <c r="E797" t="s">
        <v>29</v>
      </c>
      <c r="F797">
        <v>1</v>
      </c>
      <c r="G797">
        <v>3085</v>
      </c>
      <c r="H797" t="s">
        <v>574</v>
      </c>
      <c r="J797">
        <v>15</v>
      </c>
      <c r="K797" t="s">
        <v>74</v>
      </c>
      <c r="L797" t="s">
        <v>46</v>
      </c>
      <c r="M797" t="s">
        <v>64</v>
      </c>
      <c r="N797">
        <v>2622.25</v>
      </c>
      <c r="O797">
        <v>759.51</v>
      </c>
      <c r="P797" t="s">
        <v>65</v>
      </c>
      <c r="Q797" t="s">
        <v>56</v>
      </c>
    </row>
    <row r="798" spans="1:17" x14ac:dyDescent="0.25">
      <c r="A798">
        <v>897</v>
      </c>
      <c r="B798" t="s">
        <v>67</v>
      </c>
      <c r="C798" t="s">
        <v>27</v>
      </c>
      <c r="D798" t="s">
        <v>28</v>
      </c>
      <c r="E798" t="s">
        <v>29</v>
      </c>
      <c r="F798">
        <v>9</v>
      </c>
      <c r="G798">
        <v>43352</v>
      </c>
      <c r="H798" t="s">
        <v>547</v>
      </c>
      <c r="J798">
        <v>5</v>
      </c>
      <c r="K798" t="s">
        <v>58</v>
      </c>
      <c r="L798" t="s">
        <v>55</v>
      </c>
      <c r="M798" t="s">
        <v>81</v>
      </c>
      <c r="N798">
        <v>370659.6</v>
      </c>
      <c r="O798">
        <v>35327.19</v>
      </c>
      <c r="P798" t="s">
        <v>33</v>
      </c>
      <c r="Q798" t="s">
        <v>56</v>
      </c>
    </row>
    <row r="799" spans="1:17" x14ac:dyDescent="0.25">
      <c r="A799">
        <v>898</v>
      </c>
      <c r="B799" t="s">
        <v>34</v>
      </c>
      <c r="C799" t="s">
        <v>35</v>
      </c>
      <c r="D799" t="s">
        <v>69</v>
      </c>
      <c r="E799" t="s">
        <v>70</v>
      </c>
      <c r="F799">
        <v>4</v>
      </c>
      <c r="G799">
        <v>14021</v>
      </c>
      <c r="H799" t="s">
        <v>575</v>
      </c>
      <c r="J799">
        <v>20</v>
      </c>
      <c r="K799" t="s">
        <v>54</v>
      </c>
      <c r="L799" t="s">
        <v>22</v>
      </c>
      <c r="M799" t="s">
        <v>32</v>
      </c>
      <c r="N799">
        <v>44867.199999999997</v>
      </c>
      <c r="O799">
        <v>10340.75</v>
      </c>
      <c r="P799" t="s">
        <v>65</v>
      </c>
      <c r="Q799" t="s">
        <v>25</v>
      </c>
    </row>
    <row r="800" spans="1:17" x14ac:dyDescent="0.25">
      <c r="A800">
        <v>899</v>
      </c>
      <c r="B800" t="s">
        <v>51</v>
      </c>
      <c r="C800" t="s">
        <v>68</v>
      </c>
      <c r="D800" t="s">
        <v>69</v>
      </c>
      <c r="E800" t="s">
        <v>98</v>
      </c>
      <c r="F800">
        <v>10</v>
      </c>
      <c r="G800">
        <v>38637</v>
      </c>
      <c r="H800" t="s">
        <v>20</v>
      </c>
      <c r="J800">
        <v>0</v>
      </c>
      <c r="K800" t="s">
        <v>58</v>
      </c>
      <c r="L800" t="s">
        <v>46</v>
      </c>
      <c r="M800" t="s">
        <v>100</v>
      </c>
      <c r="N800">
        <v>386370</v>
      </c>
      <c r="O800">
        <v>67689.08</v>
      </c>
      <c r="P800" t="s">
        <v>24</v>
      </c>
      <c r="Q800" t="s">
        <v>25</v>
      </c>
    </row>
    <row r="801" spans="1:17" x14ac:dyDescent="0.25">
      <c r="A801">
        <v>900</v>
      </c>
      <c r="B801" t="s">
        <v>26</v>
      </c>
      <c r="C801" t="s">
        <v>27</v>
      </c>
      <c r="D801" t="s">
        <v>69</v>
      </c>
      <c r="E801" t="s">
        <v>70</v>
      </c>
      <c r="F801">
        <v>5</v>
      </c>
      <c r="G801">
        <v>20950</v>
      </c>
      <c r="H801" t="s">
        <v>334</v>
      </c>
      <c r="J801">
        <v>0</v>
      </c>
      <c r="K801" t="s">
        <v>21</v>
      </c>
      <c r="L801" t="s">
        <v>22</v>
      </c>
      <c r="M801" t="s">
        <v>50</v>
      </c>
      <c r="N801">
        <v>104750</v>
      </c>
      <c r="O801">
        <v>29731.62</v>
      </c>
      <c r="P801" t="s">
        <v>33</v>
      </c>
      <c r="Q801" t="s">
        <v>25</v>
      </c>
    </row>
    <row r="802" spans="1:17" x14ac:dyDescent="0.25">
      <c r="A802">
        <v>901</v>
      </c>
      <c r="B802" t="s">
        <v>107</v>
      </c>
      <c r="C802" t="s">
        <v>17</v>
      </c>
      <c r="D802" t="s">
        <v>18</v>
      </c>
      <c r="E802" t="s">
        <v>72</v>
      </c>
      <c r="F802">
        <v>1</v>
      </c>
      <c r="G802">
        <v>29788</v>
      </c>
      <c r="H802" t="s">
        <v>576</v>
      </c>
      <c r="J802">
        <v>0</v>
      </c>
      <c r="K802" t="s">
        <v>58</v>
      </c>
      <c r="L802" t="s">
        <v>22</v>
      </c>
      <c r="M802" t="s">
        <v>64</v>
      </c>
      <c r="N802">
        <v>29788</v>
      </c>
      <c r="O802">
        <v>6406.96</v>
      </c>
      <c r="P802" t="s">
        <v>24</v>
      </c>
      <c r="Q802" t="s">
        <v>75</v>
      </c>
    </row>
    <row r="803" spans="1:17" x14ac:dyDescent="0.25">
      <c r="A803">
        <v>902</v>
      </c>
      <c r="B803" t="s">
        <v>84</v>
      </c>
      <c r="C803" t="s">
        <v>17</v>
      </c>
      <c r="D803" t="s">
        <v>28</v>
      </c>
      <c r="E803" t="s">
        <v>29</v>
      </c>
      <c r="F803">
        <v>10</v>
      </c>
      <c r="G803">
        <v>1984</v>
      </c>
      <c r="H803" t="s">
        <v>577</v>
      </c>
      <c r="J803">
        <v>20</v>
      </c>
      <c r="K803" t="s">
        <v>38</v>
      </c>
      <c r="L803" t="s">
        <v>46</v>
      </c>
      <c r="M803" t="s">
        <v>23</v>
      </c>
      <c r="N803">
        <v>15872</v>
      </c>
      <c r="O803">
        <v>2918.96</v>
      </c>
      <c r="P803" t="s">
        <v>65</v>
      </c>
      <c r="Q803" t="s">
        <v>56</v>
      </c>
    </row>
    <row r="804" spans="1:17" x14ac:dyDescent="0.25">
      <c r="A804">
        <v>903</v>
      </c>
      <c r="B804" t="s">
        <v>67</v>
      </c>
      <c r="C804" t="s">
        <v>17</v>
      </c>
      <c r="D804" t="s">
        <v>18</v>
      </c>
      <c r="E804" t="s">
        <v>62</v>
      </c>
      <c r="F804">
        <v>1</v>
      </c>
      <c r="G804">
        <v>69693</v>
      </c>
      <c r="H804" t="s">
        <v>578</v>
      </c>
      <c r="J804">
        <v>10</v>
      </c>
      <c r="K804" t="s">
        <v>74</v>
      </c>
      <c r="L804" t="s">
        <v>46</v>
      </c>
      <c r="M804" t="s">
        <v>32</v>
      </c>
      <c r="N804">
        <v>62723.7</v>
      </c>
      <c r="O804">
        <v>13453.25</v>
      </c>
      <c r="P804" t="s">
        <v>65</v>
      </c>
      <c r="Q804" t="s">
        <v>75</v>
      </c>
    </row>
    <row r="805" spans="1:17" x14ac:dyDescent="0.25">
      <c r="A805">
        <v>904</v>
      </c>
      <c r="B805" t="s">
        <v>41</v>
      </c>
      <c r="C805" t="s">
        <v>35</v>
      </c>
      <c r="D805" t="s">
        <v>69</v>
      </c>
      <c r="E805" t="s">
        <v>121</v>
      </c>
      <c r="F805">
        <v>1</v>
      </c>
      <c r="G805">
        <v>14651</v>
      </c>
      <c r="H805" t="s">
        <v>373</v>
      </c>
      <c r="J805">
        <v>15</v>
      </c>
      <c r="K805" t="s">
        <v>58</v>
      </c>
      <c r="L805" t="s">
        <v>22</v>
      </c>
      <c r="M805" t="s">
        <v>47</v>
      </c>
      <c r="N805">
        <v>12453.35</v>
      </c>
      <c r="O805">
        <v>2567.4899999999998</v>
      </c>
      <c r="P805" t="s">
        <v>65</v>
      </c>
      <c r="Q805" t="s">
        <v>75</v>
      </c>
    </row>
    <row r="806" spans="1:17" x14ac:dyDescent="0.25">
      <c r="A806">
        <v>905</v>
      </c>
      <c r="B806" t="s">
        <v>96</v>
      </c>
      <c r="C806" t="s">
        <v>68</v>
      </c>
      <c r="D806" t="s">
        <v>69</v>
      </c>
      <c r="E806" t="s">
        <v>98</v>
      </c>
      <c r="F806">
        <v>7</v>
      </c>
      <c r="G806">
        <v>8656</v>
      </c>
      <c r="H806" t="s">
        <v>376</v>
      </c>
      <c r="J806">
        <v>0</v>
      </c>
      <c r="K806" t="s">
        <v>45</v>
      </c>
      <c r="L806" t="s">
        <v>22</v>
      </c>
      <c r="M806" t="s">
        <v>32</v>
      </c>
      <c r="N806">
        <v>60592</v>
      </c>
      <c r="O806">
        <v>7700.75</v>
      </c>
      <c r="P806" t="s">
        <v>33</v>
      </c>
      <c r="Q806" t="s">
        <v>56</v>
      </c>
    </row>
    <row r="807" spans="1:17" x14ac:dyDescent="0.25">
      <c r="A807">
        <v>906</v>
      </c>
      <c r="B807" t="s">
        <v>96</v>
      </c>
      <c r="C807" t="s">
        <v>35</v>
      </c>
      <c r="D807" t="s">
        <v>28</v>
      </c>
      <c r="E807" t="s">
        <v>29</v>
      </c>
      <c r="F807">
        <v>10</v>
      </c>
      <c r="G807">
        <v>45455</v>
      </c>
      <c r="H807" t="s">
        <v>579</v>
      </c>
      <c r="J807">
        <v>20</v>
      </c>
      <c r="K807" t="s">
        <v>45</v>
      </c>
      <c r="L807" t="s">
        <v>55</v>
      </c>
      <c r="M807" t="s">
        <v>23</v>
      </c>
      <c r="N807">
        <v>363640</v>
      </c>
      <c r="O807">
        <v>60399.03</v>
      </c>
      <c r="P807" t="s">
        <v>24</v>
      </c>
      <c r="Q807" t="s">
        <v>25</v>
      </c>
    </row>
    <row r="808" spans="1:17" x14ac:dyDescent="0.25">
      <c r="A808">
        <v>907</v>
      </c>
      <c r="B808" t="s">
        <v>34</v>
      </c>
      <c r="C808" t="s">
        <v>17</v>
      </c>
      <c r="D808" t="s">
        <v>42</v>
      </c>
      <c r="E808" t="s">
        <v>52</v>
      </c>
      <c r="F808">
        <v>5</v>
      </c>
      <c r="G808">
        <v>42573</v>
      </c>
      <c r="H808" t="s">
        <v>580</v>
      </c>
      <c r="J808">
        <v>5</v>
      </c>
      <c r="K808" t="s">
        <v>21</v>
      </c>
      <c r="L808" t="s">
        <v>31</v>
      </c>
      <c r="M808" t="s">
        <v>47</v>
      </c>
      <c r="N808">
        <v>202221.75</v>
      </c>
      <c r="O808">
        <v>52336.58</v>
      </c>
      <c r="P808" t="s">
        <v>33</v>
      </c>
      <c r="Q808" t="s">
        <v>75</v>
      </c>
    </row>
    <row r="809" spans="1:17" x14ac:dyDescent="0.25">
      <c r="A809">
        <v>908</v>
      </c>
      <c r="B809" t="s">
        <v>41</v>
      </c>
      <c r="C809" t="s">
        <v>68</v>
      </c>
      <c r="D809" t="s">
        <v>18</v>
      </c>
      <c r="E809" t="s">
        <v>19</v>
      </c>
      <c r="F809">
        <v>1</v>
      </c>
      <c r="G809">
        <v>45667</v>
      </c>
      <c r="H809" t="s">
        <v>581</v>
      </c>
      <c r="J809">
        <v>20</v>
      </c>
      <c r="K809" t="s">
        <v>74</v>
      </c>
      <c r="L809" t="s">
        <v>46</v>
      </c>
      <c r="M809" t="s">
        <v>47</v>
      </c>
      <c r="N809">
        <v>36533.599999999999</v>
      </c>
      <c r="O809">
        <v>4627.66</v>
      </c>
      <c r="P809" t="s">
        <v>33</v>
      </c>
      <c r="Q809" t="s">
        <v>25</v>
      </c>
    </row>
    <row r="810" spans="1:17" x14ac:dyDescent="0.25">
      <c r="A810">
        <v>909</v>
      </c>
      <c r="B810" t="s">
        <v>96</v>
      </c>
      <c r="C810" t="s">
        <v>27</v>
      </c>
      <c r="D810" t="s">
        <v>18</v>
      </c>
      <c r="E810" t="s">
        <v>62</v>
      </c>
      <c r="F810">
        <v>9</v>
      </c>
      <c r="G810">
        <v>52069</v>
      </c>
      <c r="H810" t="s">
        <v>582</v>
      </c>
      <c r="J810">
        <v>0</v>
      </c>
      <c r="K810" t="s">
        <v>45</v>
      </c>
      <c r="L810" t="s">
        <v>55</v>
      </c>
      <c r="M810" t="s">
        <v>100</v>
      </c>
      <c r="N810">
        <v>468621</v>
      </c>
      <c r="O810">
        <v>43775.24</v>
      </c>
      <c r="P810" t="s">
        <v>33</v>
      </c>
      <c r="Q810" t="s">
        <v>56</v>
      </c>
    </row>
    <row r="811" spans="1:17" x14ac:dyDescent="0.25">
      <c r="A811">
        <v>910</v>
      </c>
      <c r="B811" t="s">
        <v>51</v>
      </c>
      <c r="C811" t="s">
        <v>68</v>
      </c>
      <c r="D811" t="s">
        <v>18</v>
      </c>
      <c r="E811" t="s">
        <v>72</v>
      </c>
      <c r="F811">
        <v>10</v>
      </c>
      <c r="G811">
        <v>7071</v>
      </c>
      <c r="H811" t="s">
        <v>446</v>
      </c>
      <c r="J811">
        <v>15</v>
      </c>
      <c r="K811" t="s">
        <v>45</v>
      </c>
      <c r="L811" t="s">
        <v>31</v>
      </c>
      <c r="M811" t="s">
        <v>47</v>
      </c>
      <c r="N811">
        <v>60103.5</v>
      </c>
      <c r="O811">
        <v>13215.73</v>
      </c>
      <c r="P811" t="s">
        <v>40</v>
      </c>
      <c r="Q811" t="s">
        <v>75</v>
      </c>
    </row>
    <row r="812" spans="1:17" x14ac:dyDescent="0.25">
      <c r="A812">
        <v>911</v>
      </c>
      <c r="B812" t="s">
        <v>26</v>
      </c>
      <c r="C812" t="s">
        <v>35</v>
      </c>
      <c r="D812" t="s">
        <v>18</v>
      </c>
      <c r="E812" t="s">
        <v>36</v>
      </c>
      <c r="F812">
        <v>10</v>
      </c>
      <c r="G812">
        <v>14394</v>
      </c>
      <c r="H812" t="s">
        <v>480</v>
      </c>
      <c r="J812">
        <v>15</v>
      </c>
      <c r="K812" t="s">
        <v>21</v>
      </c>
      <c r="L812" t="s">
        <v>46</v>
      </c>
      <c r="M812" t="s">
        <v>47</v>
      </c>
      <c r="N812">
        <v>122349</v>
      </c>
      <c r="O812">
        <v>24630.03</v>
      </c>
      <c r="P812" t="s">
        <v>40</v>
      </c>
      <c r="Q812" t="s">
        <v>75</v>
      </c>
    </row>
    <row r="813" spans="1:17" x14ac:dyDescent="0.25">
      <c r="A813">
        <v>912</v>
      </c>
      <c r="B813" t="s">
        <v>61</v>
      </c>
      <c r="C813" t="s">
        <v>68</v>
      </c>
      <c r="D813" t="s">
        <v>42</v>
      </c>
      <c r="E813" t="s">
        <v>59</v>
      </c>
      <c r="F813">
        <v>3</v>
      </c>
      <c r="G813">
        <v>20689</v>
      </c>
      <c r="H813" t="s">
        <v>583</v>
      </c>
      <c r="J813">
        <v>15</v>
      </c>
      <c r="K813" t="s">
        <v>45</v>
      </c>
      <c r="L813" t="s">
        <v>55</v>
      </c>
      <c r="M813" t="s">
        <v>81</v>
      </c>
      <c r="N813">
        <v>52756.95</v>
      </c>
      <c r="O813">
        <v>13618.91</v>
      </c>
      <c r="P813" t="s">
        <v>40</v>
      </c>
      <c r="Q813" t="s">
        <v>56</v>
      </c>
    </row>
    <row r="814" spans="1:17" x14ac:dyDescent="0.25">
      <c r="A814">
        <v>913</v>
      </c>
      <c r="B814" t="s">
        <v>16</v>
      </c>
      <c r="C814" t="s">
        <v>68</v>
      </c>
      <c r="D814" t="s">
        <v>69</v>
      </c>
      <c r="E814" t="s">
        <v>98</v>
      </c>
      <c r="F814">
        <v>1</v>
      </c>
      <c r="G814">
        <v>33505</v>
      </c>
      <c r="H814" t="s">
        <v>177</v>
      </c>
      <c r="J814">
        <v>10</v>
      </c>
      <c r="K814" t="s">
        <v>74</v>
      </c>
      <c r="L814" t="s">
        <v>31</v>
      </c>
      <c r="M814" t="s">
        <v>32</v>
      </c>
      <c r="N814">
        <v>30154.5</v>
      </c>
      <c r="O814">
        <v>4268.17</v>
      </c>
      <c r="P814" t="s">
        <v>40</v>
      </c>
      <c r="Q814" t="s">
        <v>56</v>
      </c>
    </row>
    <row r="815" spans="1:17" x14ac:dyDescent="0.25">
      <c r="A815">
        <v>914</v>
      </c>
      <c r="B815" t="s">
        <v>51</v>
      </c>
      <c r="C815" t="s">
        <v>68</v>
      </c>
      <c r="D815" t="s">
        <v>69</v>
      </c>
      <c r="E815" t="s">
        <v>98</v>
      </c>
      <c r="F815">
        <v>7</v>
      </c>
      <c r="G815">
        <v>2506</v>
      </c>
      <c r="H815" t="s">
        <v>289</v>
      </c>
      <c r="J815">
        <v>20</v>
      </c>
      <c r="K815" t="s">
        <v>54</v>
      </c>
      <c r="L815" t="s">
        <v>46</v>
      </c>
      <c r="M815" t="s">
        <v>64</v>
      </c>
      <c r="N815">
        <v>14033.6</v>
      </c>
      <c r="O815">
        <v>3743.85</v>
      </c>
      <c r="P815" t="s">
        <v>65</v>
      </c>
      <c r="Q815" t="s">
        <v>56</v>
      </c>
    </row>
    <row r="816" spans="1:17" x14ac:dyDescent="0.25">
      <c r="A816">
        <v>915</v>
      </c>
      <c r="B816" t="s">
        <v>107</v>
      </c>
      <c r="C816" t="s">
        <v>68</v>
      </c>
      <c r="D816" t="s">
        <v>18</v>
      </c>
      <c r="E816" t="s">
        <v>19</v>
      </c>
      <c r="F816">
        <v>2</v>
      </c>
      <c r="G816">
        <v>60163</v>
      </c>
      <c r="H816" t="s">
        <v>306</v>
      </c>
      <c r="J816">
        <v>10</v>
      </c>
      <c r="K816" t="s">
        <v>74</v>
      </c>
      <c r="L816" t="s">
        <v>55</v>
      </c>
      <c r="M816" t="s">
        <v>47</v>
      </c>
      <c r="N816">
        <v>108293.4</v>
      </c>
      <c r="O816">
        <v>25839.06</v>
      </c>
      <c r="P816" t="s">
        <v>40</v>
      </c>
      <c r="Q816" t="s">
        <v>75</v>
      </c>
    </row>
    <row r="817" spans="1:17" x14ac:dyDescent="0.25">
      <c r="A817">
        <v>916</v>
      </c>
      <c r="B817" t="s">
        <v>16</v>
      </c>
      <c r="C817" t="s">
        <v>68</v>
      </c>
      <c r="D817" t="s">
        <v>76</v>
      </c>
      <c r="E817" t="s">
        <v>101</v>
      </c>
      <c r="F817">
        <v>8</v>
      </c>
      <c r="G817">
        <v>14601</v>
      </c>
      <c r="H817" t="s">
        <v>584</v>
      </c>
      <c r="J817">
        <v>5</v>
      </c>
      <c r="K817" t="s">
        <v>74</v>
      </c>
      <c r="L817" t="s">
        <v>46</v>
      </c>
      <c r="M817" t="s">
        <v>50</v>
      </c>
      <c r="N817">
        <v>110967.6</v>
      </c>
      <c r="O817">
        <v>24803.05</v>
      </c>
      <c r="P817" t="s">
        <v>24</v>
      </c>
      <c r="Q817" t="s">
        <v>56</v>
      </c>
    </row>
    <row r="818" spans="1:17" x14ac:dyDescent="0.25">
      <c r="A818">
        <v>917</v>
      </c>
      <c r="B818" t="s">
        <v>84</v>
      </c>
      <c r="C818" t="s">
        <v>35</v>
      </c>
      <c r="D818" t="s">
        <v>28</v>
      </c>
      <c r="E818" t="s">
        <v>103</v>
      </c>
      <c r="F818">
        <v>7</v>
      </c>
      <c r="G818">
        <v>69738</v>
      </c>
      <c r="H818" t="s">
        <v>412</v>
      </c>
      <c r="J818">
        <v>20</v>
      </c>
      <c r="K818" t="s">
        <v>38</v>
      </c>
      <c r="L818" t="s">
        <v>22</v>
      </c>
      <c r="M818" t="s">
        <v>23</v>
      </c>
      <c r="N818">
        <v>390532.8</v>
      </c>
      <c r="O818">
        <v>57102.53</v>
      </c>
      <c r="P818" t="s">
        <v>65</v>
      </c>
      <c r="Q818" t="s">
        <v>25</v>
      </c>
    </row>
    <row r="819" spans="1:17" x14ac:dyDescent="0.25">
      <c r="A819">
        <v>918</v>
      </c>
      <c r="B819" t="s">
        <v>115</v>
      </c>
      <c r="C819" t="s">
        <v>68</v>
      </c>
      <c r="D819" t="s">
        <v>42</v>
      </c>
      <c r="E819" t="s">
        <v>43</v>
      </c>
      <c r="F819">
        <v>9</v>
      </c>
      <c r="G819">
        <v>31127</v>
      </c>
      <c r="H819" t="s">
        <v>310</v>
      </c>
      <c r="J819">
        <v>10</v>
      </c>
      <c r="K819" t="s">
        <v>54</v>
      </c>
      <c r="L819" t="s">
        <v>46</v>
      </c>
      <c r="M819" t="s">
        <v>23</v>
      </c>
      <c r="N819">
        <v>252128.7</v>
      </c>
      <c r="O819">
        <v>59643.1</v>
      </c>
      <c r="P819" t="s">
        <v>33</v>
      </c>
      <c r="Q819" t="s">
        <v>25</v>
      </c>
    </row>
    <row r="820" spans="1:17" x14ac:dyDescent="0.25">
      <c r="A820">
        <v>919</v>
      </c>
      <c r="B820" t="s">
        <v>115</v>
      </c>
      <c r="C820" t="s">
        <v>17</v>
      </c>
      <c r="D820" t="s">
        <v>69</v>
      </c>
      <c r="E820" t="s">
        <v>98</v>
      </c>
      <c r="F820">
        <v>10</v>
      </c>
      <c r="G820">
        <v>34842</v>
      </c>
      <c r="H820" t="s">
        <v>434</v>
      </c>
      <c r="J820">
        <v>15</v>
      </c>
      <c r="K820" t="s">
        <v>54</v>
      </c>
      <c r="L820" t="s">
        <v>55</v>
      </c>
      <c r="M820" t="s">
        <v>47</v>
      </c>
      <c r="N820">
        <v>296157</v>
      </c>
      <c r="O820">
        <v>79150.649999999994</v>
      </c>
      <c r="P820" t="s">
        <v>24</v>
      </c>
      <c r="Q820" t="s">
        <v>75</v>
      </c>
    </row>
    <row r="821" spans="1:17" x14ac:dyDescent="0.25">
      <c r="A821">
        <v>920</v>
      </c>
      <c r="B821" t="s">
        <v>91</v>
      </c>
      <c r="C821" t="s">
        <v>35</v>
      </c>
      <c r="D821" t="s">
        <v>42</v>
      </c>
      <c r="E821" t="s">
        <v>43</v>
      </c>
      <c r="F821">
        <v>10</v>
      </c>
      <c r="G821">
        <v>4001</v>
      </c>
      <c r="H821" t="s">
        <v>585</v>
      </c>
      <c r="J821">
        <v>10</v>
      </c>
      <c r="K821" t="s">
        <v>21</v>
      </c>
      <c r="L821" t="s">
        <v>46</v>
      </c>
      <c r="M821" t="s">
        <v>32</v>
      </c>
      <c r="N821">
        <v>36009</v>
      </c>
      <c r="O821">
        <v>6772.31</v>
      </c>
      <c r="P821" t="s">
        <v>33</v>
      </c>
      <c r="Q821" t="s">
        <v>75</v>
      </c>
    </row>
    <row r="822" spans="1:17" x14ac:dyDescent="0.25">
      <c r="A822">
        <v>921</v>
      </c>
      <c r="B822" t="s">
        <v>84</v>
      </c>
      <c r="C822" t="s">
        <v>68</v>
      </c>
      <c r="D822" t="s">
        <v>28</v>
      </c>
      <c r="E822" t="s">
        <v>29</v>
      </c>
      <c r="F822">
        <v>4</v>
      </c>
      <c r="G822">
        <v>50562</v>
      </c>
      <c r="H822" t="s">
        <v>396</v>
      </c>
      <c r="J822">
        <v>15</v>
      </c>
      <c r="K822" t="s">
        <v>58</v>
      </c>
      <c r="L822" t="s">
        <v>22</v>
      </c>
      <c r="M822" t="s">
        <v>47</v>
      </c>
      <c r="N822">
        <v>171910.8</v>
      </c>
      <c r="O822">
        <v>43339.7</v>
      </c>
      <c r="P822" t="s">
        <v>65</v>
      </c>
      <c r="Q822" t="s">
        <v>75</v>
      </c>
    </row>
    <row r="823" spans="1:17" x14ac:dyDescent="0.25">
      <c r="A823">
        <v>922</v>
      </c>
      <c r="B823" t="s">
        <v>115</v>
      </c>
      <c r="C823" t="s">
        <v>27</v>
      </c>
      <c r="D823" t="s">
        <v>69</v>
      </c>
      <c r="E823" t="s">
        <v>70</v>
      </c>
      <c r="F823">
        <v>1</v>
      </c>
      <c r="G823">
        <v>27273</v>
      </c>
      <c r="H823" t="s">
        <v>198</v>
      </c>
      <c r="J823">
        <v>20</v>
      </c>
      <c r="K823" t="s">
        <v>74</v>
      </c>
      <c r="L823" t="s">
        <v>55</v>
      </c>
      <c r="M823" t="s">
        <v>81</v>
      </c>
      <c r="N823">
        <v>21818.400000000001</v>
      </c>
      <c r="O823">
        <v>4217.96</v>
      </c>
      <c r="P823" t="s">
        <v>33</v>
      </c>
      <c r="Q823" t="s">
        <v>56</v>
      </c>
    </row>
    <row r="824" spans="1:17" x14ac:dyDescent="0.25">
      <c r="A824">
        <v>923</v>
      </c>
      <c r="B824" t="s">
        <v>41</v>
      </c>
      <c r="C824" t="s">
        <v>68</v>
      </c>
      <c r="D824" t="s">
        <v>18</v>
      </c>
      <c r="E824" t="s">
        <v>36</v>
      </c>
      <c r="F824">
        <v>10</v>
      </c>
      <c r="G824">
        <v>1343</v>
      </c>
      <c r="H824" t="s">
        <v>147</v>
      </c>
      <c r="J824">
        <v>10</v>
      </c>
      <c r="K824" t="s">
        <v>21</v>
      </c>
      <c r="L824" t="s">
        <v>22</v>
      </c>
      <c r="M824" t="s">
        <v>50</v>
      </c>
      <c r="N824">
        <v>12087</v>
      </c>
      <c r="O824">
        <v>2036.85</v>
      </c>
      <c r="P824" t="s">
        <v>40</v>
      </c>
      <c r="Q824" t="s">
        <v>75</v>
      </c>
    </row>
    <row r="825" spans="1:17" x14ac:dyDescent="0.25">
      <c r="A825">
        <v>924</v>
      </c>
      <c r="B825" t="s">
        <v>67</v>
      </c>
      <c r="C825" t="s">
        <v>68</v>
      </c>
      <c r="D825" t="s">
        <v>18</v>
      </c>
      <c r="E825" t="s">
        <v>72</v>
      </c>
      <c r="F825">
        <v>2</v>
      </c>
      <c r="G825">
        <v>25053</v>
      </c>
      <c r="H825" t="s">
        <v>586</v>
      </c>
      <c r="J825">
        <v>20</v>
      </c>
      <c r="K825" t="s">
        <v>58</v>
      </c>
      <c r="L825" t="s">
        <v>31</v>
      </c>
      <c r="M825" t="s">
        <v>23</v>
      </c>
      <c r="N825">
        <v>40084.800000000003</v>
      </c>
      <c r="O825">
        <v>8977.98</v>
      </c>
      <c r="P825" t="s">
        <v>65</v>
      </c>
      <c r="Q825" t="s">
        <v>56</v>
      </c>
    </row>
    <row r="826" spans="1:17" x14ac:dyDescent="0.25">
      <c r="A826">
        <v>925</v>
      </c>
      <c r="B826" t="s">
        <v>34</v>
      </c>
      <c r="C826" t="s">
        <v>68</v>
      </c>
      <c r="D826" t="s">
        <v>28</v>
      </c>
      <c r="E826" t="s">
        <v>29</v>
      </c>
      <c r="F826">
        <v>4</v>
      </c>
      <c r="G826">
        <v>51555</v>
      </c>
      <c r="H826" t="s">
        <v>408</v>
      </c>
      <c r="J826">
        <v>15</v>
      </c>
      <c r="K826" t="s">
        <v>45</v>
      </c>
      <c r="L826" t="s">
        <v>31</v>
      </c>
      <c r="M826" t="s">
        <v>47</v>
      </c>
      <c r="N826">
        <v>175287</v>
      </c>
      <c r="O826">
        <v>22180.82</v>
      </c>
      <c r="P826" t="s">
        <v>65</v>
      </c>
      <c r="Q826" t="s">
        <v>75</v>
      </c>
    </row>
    <row r="827" spans="1:17" x14ac:dyDescent="0.25">
      <c r="A827">
        <v>926</v>
      </c>
      <c r="B827" t="s">
        <v>79</v>
      </c>
      <c r="C827" t="s">
        <v>27</v>
      </c>
      <c r="D827" t="s">
        <v>69</v>
      </c>
      <c r="E827" t="s">
        <v>70</v>
      </c>
      <c r="F827">
        <v>8</v>
      </c>
      <c r="G827">
        <v>53285</v>
      </c>
      <c r="H827" t="s">
        <v>587</v>
      </c>
      <c r="J827">
        <v>20</v>
      </c>
      <c r="K827" t="s">
        <v>74</v>
      </c>
      <c r="L827" t="s">
        <v>22</v>
      </c>
      <c r="M827" t="s">
        <v>100</v>
      </c>
      <c r="N827">
        <v>341024</v>
      </c>
      <c r="O827">
        <v>51297.59</v>
      </c>
      <c r="P827" t="s">
        <v>33</v>
      </c>
      <c r="Q827" t="s">
        <v>75</v>
      </c>
    </row>
    <row r="828" spans="1:17" x14ac:dyDescent="0.25">
      <c r="A828">
        <v>927</v>
      </c>
      <c r="B828" t="s">
        <v>94</v>
      </c>
      <c r="C828" t="s">
        <v>27</v>
      </c>
      <c r="D828" t="s">
        <v>42</v>
      </c>
      <c r="E828" t="s">
        <v>52</v>
      </c>
      <c r="F828">
        <v>9</v>
      </c>
      <c r="G828">
        <v>14022</v>
      </c>
      <c r="H828" t="s">
        <v>588</v>
      </c>
      <c r="J828">
        <v>10</v>
      </c>
      <c r="K828" t="s">
        <v>38</v>
      </c>
      <c r="L828" t="s">
        <v>55</v>
      </c>
      <c r="M828" t="s">
        <v>64</v>
      </c>
      <c r="N828">
        <v>113578.2</v>
      </c>
      <c r="O828">
        <v>18569.11</v>
      </c>
      <c r="P828" t="s">
        <v>33</v>
      </c>
      <c r="Q828" t="s">
        <v>25</v>
      </c>
    </row>
    <row r="829" spans="1:17" x14ac:dyDescent="0.25">
      <c r="A829">
        <v>928</v>
      </c>
      <c r="B829" t="s">
        <v>51</v>
      </c>
      <c r="C829" t="s">
        <v>17</v>
      </c>
      <c r="D829" t="s">
        <v>69</v>
      </c>
      <c r="E829" t="s">
        <v>98</v>
      </c>
      <c r="F829">
        <v>3</v>
      </c>
      <c r="G829">
        <v>10759</v>
      </c>
      <c r="H829" t="s">
        <v>277</v>
      </c>
      <c r="J829">
        <v>20</v>
      </c>
      <c r="K829" t="s">
        <v>21</v>
      </c>
      <c r="L829" t="s">
        <v>55</v>
      </c>
      <c r="M829" t="s">
        <v>64</v>
      </c>
      <c r="N829">
        <v>25821.599999999999</v>
      </c>
      <c r="O829">
        <v>7256.07</v>
      </c>
      <c r="P829" t="s">
        <v>33</v>
      </c>
      <c r="Q829" t="s">
        <v>56</v>
      </c>
    </row>
    <row r="830" spans="1:17" x14ac:dyDescent="0.25">
      <c r="A830">
        <v>929</v>
      </c>
      <c r="B830" t="s">
        <v>79</v>
      </c>
      <c r="C830" t="s">
        <v>68</v>
      </c>
      <c r="D830" t="s">
        <v>28</v>
      </c>
      <c r="E830" t="s">
        <v>48</v>
      </c>
      <c r="F830">
        <v>9</v>
      </c>
      <c r="G830">
        <v>43031</v>
      </c>
      <c r="H830" t="s">
        <v>169</v>
      </c>
      <c r="J830">
        <v>15</v>
      </c>
      <c r="K830" t="s">
        <v>45</v>
      </c>
      <c r="L830" t="s">
        <v>46</v>
      </c>
      <c r="M830" t="s">
        <v>100</v>
      </c>
      <c r="N830">
        <v>329187.15000000002</v>
      </c>
      <c r="O830">
        <v>65109.25</v>
      </c>
      <c r="P830" t="s">
        <v>65</v>
      </c>
      <c r="Q830" t="s">
        <v>56</v>
      </c>
    </row>
    <row r="831" spans="1:17" x14ac:dyDescent="0.25">
      <c r="A831">
        <v>930</v>
      </c>
      <c r="B831" t="s">
        <v>51</v>
      </c>
      <c r="C831" t="s">
        <v>17</v>
      </c>
      <c r="D831" t="s">
        <v>69</v>
      </c>
      <c r="E831" t="s">
        <v>70</v>
      </c>
      <c r="F831">
        <v>3</v>
      </c>
      <c r="G831">
        <v>48466</v>
      </c>
      <c r="H831" t="s">
        <v>472</v>
      </c>
      <c r="J831">
        <v>20</v>
      </c>
      <c r="K831" t="s">
        <v>21</v>
      </c>
      <c r="L831" t="s">
        <v>22</v>
      </c>
      <c r="M831" t="s">
        <v>47</v>
      </c>
      <c r="N831">
        <v>116318.39999999999</v>
      </c>
      <c r="O831">
        <v>17819.63</v>
      </c>
      <c r="P831" t="s">
        <v>24</v>
      </c>
      <c r="Q831" t="s">
        <v>25</v>
      </c>
    </row>
    <row r="832" spans="1:17" x14ac:dyDescent="0.25">
      <c r="A832">
        <v>931</v>
      </c>
      <c r="B832" t="s">
        <v>84</v>
      </c>
      <c r="C832" t="s">
        <v>17</v>
      </c>
      <c r="D832" t="s">
        <v>42</v>
      </c>
      <c r="E832" t="s">
        <v>43</v>
      </c>
      <c r="F832">
        <v>6</v>
      </c>
      <c r="G832">
        <v>75531</v>
      </c>
      <c r="H832" t="s">
        <v>550</v>
      </c>
      <c r="J832">
        <v>0</v>
      </c>
      <c r="K832" t="s">
        <v>38</v>
      </c>
      <c r="L832" t="s">
        <v>22</v>
      </c>
      <c r="M832" t="s">
        <v>32</v>
      </c>
      <c r="N832">
        <v>453186</v>
      </c>
      <c r="O832">
        <v>74925.69</v>
      </c>
      <c r="P832" t="s">
        <v>65</v>
      </c>
      <c r="Q832" t="s">
        <v>25</v>
      </c>
    </row>
    <row r="833" spans="1:17" x14ac:dyDescent="0.25">
      <c r="A833">
        <v>932</v>
      </c>
      <c r="B833" t="s">
        <v>94</v>
      </c>
      <c r="C833" t="s">
        <v>27</v>
      </c>
      <c r="D833" t="s">
        <v>18</v>
      </c>
      <c r="E833" t="s">
        <v>62</v>
      </c>
      <c r="F833">
        <v>6</v>
      </c>
      <c r="G833">
        <v>71603</v>
      </c>
      <c r="H833" t="s">
        <v>589</v>
      </c>
      <c r="J833">
        <v>20</v>
      </c>
      <c r="K833" t="s">
        <v>21</v>
      </c>
      <c r="L833" t="s">
        <v>22</v>
      </c>
      <c r="M833" t="s">
        <v>32</v>
      </c>
      <c r="N833">
        <v>343694.4</v>
      </c>
      <c r="O833">
        <v>81820.61</v>
      </c>
      <c r="P833" t="s">
        <v>65</v>
      </c>
      <c r="Q833" t="s">
        <v>56</v>
      </c>
    </row>
    <row r="834" spans="1:17" x14ac:dyDescent="0.25">
      <c r="A834">
        <v>933</v>
      </c>
      <c r="B834" t="s">
        <v>115</v>
      </c>
      <c r="C834" t="s">
        <v>68</v>
      </c>
      <c r="D834" t="s">
        <v>76</v>
      </c>
      <c r="E834" t="s">
        <v>77</v>
      </c>
      <c r="F834">
        <v>1</v>
      </c>
      <c r="G834">
        <v>64805</v>
      </c>
      <c r="H834" t="s">
        <v>579</v>
      </c>
      <c r="J834">
        <v>20</v>
      </c>
      <c r="K834" t="s">
        <v>38</v>
      </c>
      <c r="L834" t="s">
        <v>31</v>
      </c>
      <c r="M834" t="s">
        <v>50</v>
      </c>
      <c r="N834">
        <v>51844</v>
      </c>
      <c r="O834">
        <v>4443.72</v>
      </c>
      <c r="P834" t="s">
        <v>40</v>
      </c>
      <c r="Q834" t="s">
        <v>25</v>
      </c>
    </row>
    <row r="835" spans="1:17" x14ac:dyDescent="0.25">
      <c r="A835">
        <v>934</v>
      </c>
      <c r="B835" t="s">
        <v>79</v>
      </c>
      <c r="C835" t="s">
        <v>17</v>
      </c>
      <c r="D835" t="s">
        <v>28</v>
      </c>
      <c r="E835" t="s">
        <v>103</v>
      </c>
      <c r="F835">
        <v>3</v>
      </c>
      <c r="G835">
        <v>60497</v>
      </c>
      <c r="H835" t="s">
        <v>590</v>
      </c>
      <c r="J835">
        <v>5</v>
      </c>
      <c r="K835" t="s">
        <v>38</v>
      </c>
      <c r="L835" t="s">
        <v>55</v>
      </c>
      <c r="M835" t="s">
        <v>81</v>
      </c>
      <c r="N835">
        <v>172416.45</v>
      </c>
      <c r="O835">
        <v>21541.17</v>
      </c>
      <c r="P835" t="s">
        <v>24</v>
      </c>
      <c r="Q835" t="s">
        <v>25</v>
      </c>
    </row>
    <row r="836" spans="1:17" x14ac:dyDescent="0.25">
      <c r="A836">
        <v>935</v>
      </c>
      <c r="B836" t="s">
        <v>61</v>
      </c>
      <c r="C836" t="s">
        <v>68</v>
      </c>
      <c r="D836" t="s">
        <v>28</v>
      </c>
      <c r="E836" t="s">
        <v>29</v>
      </c>
      <c r="F836">
        <v>5</v>
      </c>
      <c r="G836">
        <v>73221</v>
      </c>
      <c r="H836" t="s">
        <v>78</v>
      </c>
      <c r="J836">
        <v>15</v>
      </c>
      <c r="K836" t="s">
        <v>38</v>
      </c>
      <c r="L836" t="s">
        <v>31</v>
      </c>
      <c r="M836" t="s">
        <v>32</v>
      </c>
      <c r="N836">
        <v>311189.25</v>
      </c>
      <c r="O836">
        <v>80798.81</v>
      </c>
      <c r="P836" t="s">
        <v>65</v>
      </c>
      <c r="Q836" t="s">
        <v>75</v>
      </c>
    </row>
    <row r="837" spans="1:17" x14ac:dyDescent="0.25">
      <c r="A837">
        <v>936</v>
      </c>
      <c r="B837" t="s">
        <v>91</v>
      </c>
      <c r="C837" t="s">
        <v>68</v>
      </c>
      <c r="D837" t="s">
        <v>76</v>
      </c>
      <c r="E837" t="s">
        <v>92</v>
      </c>
      <c r="F837">
        <v>10</v>
      </c>
      <c r="G837">
        <v>51132</v>
      </c>
      <c r="H837" t="s">
        <v>548</v>
      </c>
      <c r="J837">
        <v>20</v>
      </c>
      <c r="K837" t="s">
        <v>74</v>
      </c>
      <c r="L837" t="s">
        <v>46</v>
      </c>
      <c r="M837" t="s">
        <v>50</v>
      </c>
      <c r="N837">
        <v>409056</v>
      </c>
      <c r="O837">
        <v>82354.81</v>
      </c>
      <c r="P837" t="s">
        <v>40</v>
      </c>
      <c r="Q837" t="s">
        <v>56</v>
      </c>
    </row>
    <row r="838" spans="1:17" x14ac:dyDescent="0.25">
      <c r="A838">
        <v>937</v>
      </c>
      <c r="B838" t="s">
        <v>67</v>
      </c>
      <c r="C838" t="s">
        <v>35</v>
      </c>
      <c r="D838" t="s">
        <v>18</v>
      </c>
      <c r="E838" t="s">
        <v>19</v>
      </c>
      <c r="F838">
        <v>10</v>
      </c>
      <c r="G838">
        <v>79847</v>
      </c>
      <c r="H838" t="s">
        <v>357</v>
      </c>
      <c r="J838">
        <v>10</v>
      </c>
      <c r="K838" t="s">
        <v>74</v>
      </c>
      <c r="L838" t="s">
        <v>55</v>
      </c>
      <c r="M838" t="s">
        <v>39</v>
      </c>
      <c r="N838">
        <v>718623</v>
      </c>
      <c r="O838">
        <v>143645.13</v>
      </c>
      <c r="P838" t="s">
        <v>24</v>
      </c>
      <c r="Q838" t="s">
        <v>75</v>
      </c>
    </row>
    <row r="839" spans="1:17" x14ac:dyDescent="0.25">
      <c r="A839">
        <v>938</v>
      </c>
      <c r="B839" t="s">
        <v>91</v>
      </c>
      <c r="C839" t="s">
        <v>27</v>
      </c>
      <c r="D839" t="s">
        <v>69</v>
      </c>
      <c r="E839" t="s">
        <v>70</v>
      </c>
      <c r="F839">
        <v>3</v>
      </c>
      <c r="G839">
        <v>19977</v>
      </c>
      <c r="H839" t="s">
        <v>273</v>
      </c>
      <c r="J839">
        <v>20</v>
      </c>
      <c r="K839" t="s">
        <v>45</v>
      </c>
      <c r="L839" t="s">
        <v>46</v>
      </c>
      <c r="M839" t="s">
        <v>81</v>
      </c>
      <c r="N839">
        <v>47944.800000000003</v>
      </c>
      <c r="O839">
        <v>3861.82</v>
      </c>
      <c r="P839" t="s">
        <v>40</v>
      </c>
      <c r="Q839" t="s">
        <v>75</v>
      </c>
    </row>
    <row r="840" spans="1:17" x14ac:dyDescent="0.25">
      <c r="A840">
        <v>939</v>
      </c>
      <c r="B840" t="s">
        <v>16</v>
      </c>
      <c r="C840" t="s">
        <v>27</v>
      </c>
      <c r="D840" t="s">
        <v>69</v>
      </c>
      <c r="E840" t="s">
        <v>98</v>
      </c>
      <c r="F840">
        <v>9</v>
      </c>
      <c r="G840">
        <v>37000</v>
      </c>
      <c r="H840" t="s">
        <v>421</v>
      </c>
      <c r="J840">
        <v>10</v>
      </c>
      <c r="K840" t="s">
        <v>45</v>
      </c>
      <c r="L840" t="s">
        <v>31</v>
      </c>
      <c r="M840" t="s">
        <v>81</v>
      </c>
      <c r="N840">
        <v>299700</v>
      </c>
      <c r="O840">
        <v>34906.080000000002</v>
      </c>
      <c r="P840" t="s">
        <v>40</v>
      </c>
      <c r="Q840" t="s">
        <v>25</v>
      </c>
    </row>
    <row r="841" spans="1:17" x14ac:dyDescent="0.25">
      <c r="A841">
        <v>940</v>
      </c>
      <c r="B841" t="s">
        <v>26</v>
      </c>
      <c r="C841" t="s">
        <v>27</v>
      </c>
      <c r="D841" t="s">
        <v>42</v>
      </c>
      <c r="E841" t="s">
        <v>59</v>
      </c>
      <c r="F841">
        <v>10</v>
      </c>
      <c r="G841">
        <v>37354</v>
      </c>
      <c r="H841" t="s">
        <v>591</v>
      </c>
      <c r="J841">
        <v>5</v>
      </c>
      <c r="K841" t="s">
        <v>21</v>
      </c>
      <c r="L841" t="s">
        <v>22</v>
      </c>
      <c r="M841" t="s">
        <v>39</v>
      </c>
      <c r="N841">
        <v>354863</v>
      </c>
      <c r="O841">
        <v>84219.28</v>
      </c>
      <c r="P841" t="s">
        <v>24</v>
      </c>
      <c r="Q841" t="s">
        <v>75</v>
      </c>
    </row>
    <row r="842" spans="1:17" x14ac:dyDescent="0.25">
      <c r="A842">
        <v>941</v>
      </c>
      <c r="B842" t="s">
        <v>115</v>
      </c>
      <c r="C842" t="s">
        <v>68</v>
      </c>
      <c r="D842" t="s">
        <v>18</v>
      </c>
      <c r="E842" t="s">
        <v>36</v>
      </c>
      <c r="F842">
        <v>10</v>
      </c>
      <c r="G842">
        <v>39609</v>
      </c>
      <c r="H842" t="s">
        <v>467</v>
      </c>
      <c r="J842">
        <v>20</v>
      </c>
      <c r="K842" t="s">
        <v>45</v>
      </c>
      <c r="L842" t="s">
        <v>31</v>
      </c>
      <c r="M842" t="s">
        <v>64</v>
      </c>
      <c r="N842">
        <v>316872</v>
      </c>
      <c r="O842">
        <v>69771.539999999994</v>
      </c>
      <c r="P842" t="s">
        <v>33</v>
      </c>
      <c r="Q842" t="s">
        <v>56</v>
      </c>
    </row>
    <row r="843" spans="1:17" x14ac:dyDescent="0.25">
      <c r="A843">
        <v>942</v>
      </c>
      <c r="B843" t="s">
        <v>67</v>
      </c>
      <c r="C843" t="s">
        <v>27</v>
      </c>
      <c r="D843" t="s">
        <v>76</v>
      </c>
      <c r="E843" t="s">
        <v>77</v>
      </c>
      <c r="F843">
        <v>4</v>
      </c>
      <c r="G843">
        <v>41975</v>
      </c>
      <c r="H843" t="s">
        <v>512</v>
      </c>
      <c r="J843">
        <v>15</v>
      </c>
      <c r="K843" t="s">
        <v>58</v>
      </c>
      <c r="L843" t="s">
        <v>55</v>
      </c>
      <c r="M843" t="s">
        <v>64</v>
      </c>
      <c r="N843">
        <v>142715</v>
      </c>
      <c r="O843">
        <v>21365.88</v>
      </c>
      <c r="P843" t="s">
        <v>33</v>
      </c>
      <c r="Q843" t="s">
        <v>25</v>
      </c>
    </row>
    <row r="844" spans="1:17" x14ac:dyDescent="0.25">
      <c r="A844">
        <v>943</v>
      </c>
      <c r="B844" t="s">
        <v>16</v>
      </c>
      <c r="C844" t="s">
        <v>27</v>
      </c>
      <c r="D844" t="s">
        <v>76</v>
      </c>
      <c r="E844" t="s">
        <v>77</v>
      </c>
      <c r="F844">
        <v>5</v>
      </c>
      <c r="G844">
        <v>43563</v>
      </c>
      <c r="H844" t="s">
        <v>155</v>
      </c>
      <c r="J844">
        <v>5</v>
      </c>
      <c r="K844" t="s">
        <v>58</v>
      </c>
      <c r="L844" t="s">
        <v>55</v>
      </c>
      <c r="M844" t="s">
        <v>50</v>
      </c>
      <c r="N844">
        <v>206924.25</v>
      </c>
      <c r="O844">
        <v>43510.01</v>
      </c>
      <c r="P844" t="s">
        <v>65</v>
      </c>
      <c r="Q844" t="s">
        <v>75</v>
      </c>
    </row>
    <row r="845" spans="1:17" x14ac:dyDescent="0.25">
      <c r="A845">
        <v>944</v>
      </c>
      <c r="B845" t="s">
        <v>61</v>
      </c>
      <c r="C845" t="s">
        <v>68</v>
      </c>
      <c r="D845" t="s">
        <v>42</v>
      </c>
      <c r="E845" t="s">
        <v>59</v>
      </c>
      <c r="F845">
        <v>3</v>
      </c>
      <c r="G845">
        <v>41014</v>
      </c>
      <c r="H845" t="s">
        <v>90</v>
      </c>
      <c r="J845">
        <v>5</v>
      </c>
      <c r="K845" t="s">
        <v>58</v>
      </c>
      <c r="L845" t="s">
        <v>55</v>
      </c>
      <c r="M845" t="s">
        <v>50</v>
      </c>
      <c r="N845">
        <v>116889.9</v>
      </c>
      <c r="O845">
        <v>12304.1</v>
      </c>
      <c r="P845" t="s">
        <v>24</v>
      </c>
      <c r="Q845" t="s">
        <v>56</v>
      </c>
    </row>
    <row r="846" spans="1:17" x14ac:dyDescent="0.25">
      <c r="A846">
        <v>945</v>
      </c>
      <c r="B846" t="s">
        <v>107</v>
      </c>
      <c r="C846" t="s">
        <v>68</v>
      </c>
      <c r="D846" t="s">
        <v>76</v>
      </c>
      <c r="E846" t="s">
        <v>92</v>
      </c>
      <c r="F846">
        <v>8</v>
      </c>
      <c r="G846">
        <v>66708</v>
      </c>
      <c r="H846" t="s">
        <v>592</v>
      </c>
      <c r="J846">
        <v>15</v>
      </c>
      <c r="K846" t="s">
        <v>38</v>
      </c>
      <c r="L846" t="s">
        <v>46</v>
      </c>
      <c r="M846" t="s">
        <v>39</v>
      </c>
      <c r="N846">
        <v>453614.4</v>
      </c>
      <c r="O846">
        <v>118446.08</v>
      </c>
      <c r="P846" t="s">
        <v>24</v>
      </c>
      <c r="Q846" t="s">
        <v>75</v>
      </c>
    </row>
    <row r="847" spans="1:17" x14ac:dyDescent="0.25">
      <c r="A847">
        <v>946</v>
      </c>
      <c r="B847" t="s">
        <v>51</v>
      </c>
      <c r="C847" t="s">
        <v>27</v>
      </c>
      <c r="D847" t="s">
        <v>18</v>
      </c>
      <c r="E847" t="s">
        <v>19</v>
      </c>
      <c r="F847">
        <v>6</v>
      </c>
      <c r="G847">
        <v>9582</v>
      </c>
      <c r="H847" t="s">
        <v>537</v>
      </c>
      <c r="J847">
        <v>20</v>
      </c>
      <c r="K847" t="s">
        <v>54</v>
      </c>
      <c r="L847" t="s">
        <v>46</v>
      </c>
      <c r="M847" t="s">
        <v>100</v>
      </c>
      <c r="N847">
        <v>45993.599999999999</v>
      </c>
      <c r="O847">
        <v>10681.76</v>
      </c>
      <c r="P847" t="s">
        <v>65</v>
      </c>
      <c r="Q847" t="s">
        <v>75</v>
      </c>
    </row>
    <row r="848" spans="1:17" x14ac:dyDescent="0.25">
      <c r="A848">
        <v>947</v>
      </c>
      <c r="B848" t="s">
        <v>79</v>
      </c>
      <c r="C848" t="s">
        <v>17</v>
      </c>
      <c r="D848" t="s">
        <v>18</v>
      </c>
      <c r="E848" t="s">
        <v>62</v>
      </c>
      <c r="F848">
        <v>1</v>
      </c>
      <c r="G848">
        <v>58234</v>
      </c>
      <c r="H848" t="s">
        <v>398</v>
      </c>
      <c r="J848">
        <v>20</v>
      </c>
      <c r="K848" t="s">
        <v>38</v>
      </c>
      <c r="L848" t="s">
        <v>22</v>
      </c>
      <c r="M848" t="s">
        <v>39</v>
      </c>
      <c r="N848">
        <v>46587.199999999997</v>
      </c>
      <c r="O848">
        <v>10972.99</v>
      </c>
      <c r="P848" t="s">
        <v>24</v>
      </c>
      <c r="Q848" t="s">
        <v>25</v>
      </c>
    </row>
    <row r="849" spans="1:17" x14ac:dyDescent="0.25">
      <c r="A849">
        <v>948</v>
      </c>
      <c r="B849" t="s">
        <v>84</v>
      </c>
      <c r="C849" t="s">
        <v>17</v>
      </c>
      <c r="D849" t="s">
        <v>28</v>
      </c>
      <c r="E849" t="s">
        <v>103</v>
      </c>
      <c r="F849">
        <v>4</v>
      </c>
      <c r="G849">
        <v>28560</v>
      </c>
      <c r="H849" t="s">
        <v>438</v>
      </c>
      <c r="J849">
        <v>20</v>
      </c>
      <c r="K849" t="s">
        <v>54</v>
      </c>
      <c r="L849" t="s">
        <v>55</v>
      </c>
      <c r="M849" t="s">
        <v>47</v>
      </c>
      <c r="N849">
        <v>91392</v>
      </c>
      <c r="O849">
        <v>14357.05</v>
      </c>
      <c r="P849" t="s">
        <v>33</v>
      </c>
      <c r="Q849" t="s">
        <v>25</v>
      </c>
    </row>
    <row r="850" spans="1:17" x14ac:dyDescent="0.25">
      <c r="A850">
        <v>949</v>
      </c>
      <c r="B850" t="s">
        <v>51</v>
      </c>
      <c r="C850" t="s">
        <v>68</v>
      </c>
      <c r="D850" t="s">
        <v>28</v>
      </c>
      <c r="E850" t="s">
        <v>48</v>
      </c>
      <c r="F850">
        <v>2</v>
      </c>
      <c r="G850">
        <v>31381</v>
      </c>
      <c r="H850" t="s">
        <v>474</v>
      </c>
      <c r="J850">
        <v>0</v>
      </c>
      <c r="K850" t="s">
        <v>58</v>
      </c>
      <c r="L850" t="s">
        <v>46</v>
      </c>
      <c r="M850" t="s">
        <v>64</v>
      </c>
      <c r="N850">
        <v>62762</v>
      </c>
      <c r="O850">
        <v>8574.9</v>
      </c>
      <c r="P850" t="s">
        <v>24</v>
      </c>
      <c r="Q850" t="s">
        <v>75</v>
      </c>
    </row>
    <row r="851" spans="1:17" x14ac:dyDescent="0.25">
      <c r="A851">
        <v>950</v>
      </c>
      <c r="B851" t="s">
        <v>96</v>
      </c>
      <c r="C851" t="s">
        <v>68</v>
      </c>
      <c r="D851" t="s">
        <v>42</v>
      </c>
      <c r="E851" t="s">
        <v>59</v>
      </c>
      <c r="F851">
        <v>8</v>
      </c>
      <c r="G851">
        <v>6378</v>
      </c>
      <c r="H851" t="s">
        <v>593</v>
      </c>
      <c r="J851">
        <v>10</v>
      </c>
      <c r="K851" t="s">
        <v>58</v>
      </c>
      <c r="L851" t="s">
        <v>22</v>
      </c>
      <c r="M851" t="s">
        <v>23</v>
      </c>
      <c r="N851">
        <v>45921.599999999999</v>
      </c>
      <c r="O851">
        <v>3711.5</v>
      </c>
      <c r="P851" t="s">
        <v>65</v>
      </c>
      <c r="Q851" t="s">
        <v>56</v>
      </c>
    </row>
    <row r="852" spans="1:17" x14ac:dyDescent="0.25">
      <c r="A852">
        <v>951</v>
      </c>
      <c r="B852" t="s">
        <v>61</v>
      </c>
      <c r="C852" t="s">
        <v>27</v>
      </c>
      <c r="D852" t="s">
        <v>76</v>
      </c>
      <c r="E852" t="s">
        <v>101</v>
      </c>
      <c r="F852">
        <v>3</v>
      </c>
      <c r="G852">
        <v>53098</v>
      </c>
      <c r="H852" t="s">
        <v>594</v>
      </c>
      <c r="J852">
        <v>0</v>
      </c>
      <c r="K852" t="s">
        <v>58</v>
      </c>
      <c r="L852" t="s">
        <v>55</v>
      </c>
      <c r="M852" t="s">
        <v>50</v>
      </c>
      <c r="N852">
        <v>159294</v>
      </c>
      <c r="O852">
        <v>30351.3</v>
      </c>
      <c r="P852" t="s">
        <v>65</v>
      </c>
      <c r="Q852" t="s">
        <v>56</v>
      </c>
    </row>
    <row r="853" spans="1:17" x14ac:dyDescent="0.25">
      <c r="A853">
        <v>952</v>
      </c>
      <c r="B853" t="s">
        <v>107</v>
      </c>
      <c r="C853" t="s">
        <v>27</v>
      </c>
      <c r="D853" t="s">
        <v>28</v>
      </c>
      <c r="E853" t="s">
        <v>48</v>
      </c>
      <c r="F853">
        <v>4</v>
      </c>
      <c r="G853">
        <v>44314</v>
      </c>
      <c r="H853" t="s">
        <v>207</v>
      </c>
      <c r="J853">
        <v>15</v>
      </c>
      <c r="K853" t="s">
        <v>38</v>
      </c>
      <c r="L853" t="s">
        <v>22</v>
      </c>
      <c r="M853" t="s">
        <v>64</v>
      </c>
      <c r="N853">
        <v>150667.6</v>
      </c>
      <c r="O853">
        <v>34173.96</v>
      </c>
      <c r="P853" t="s">
        <v>65</v>
      </c>
      <c r="Q853" t="s">
        <v>75</v>
      </c>
    </row>
    <row r="854" spans="1:17" x14ac:dyDescent="0.25">
      <c r="A854">
        <v>953</v>
      </c>
      <c r="B854" t="s">
        <v>61</v>
      </c>
      <c r="C854" t="s">
        <v>35</v>
      </c>
      <c r="D854" t="s">
        <v>42</v>
      </c>
      <c r="E854" t="s">
        <v>59</v>
      </c>
      <c r="F854">
        <v>3</v>
      </c>
      <c r="G854">
        <v>31293</v>
      </c>
      <c r="H854" t="s">
        <v>162</v>
      </c>
      <c r="J854">
        <v>20</v>
      </c>
      <c r="K854" t="s">
        <v>58</v>
      </c>
      <c r="L854" t="s">
        <v>31</v>
      </c>
      <c r="M854" t="s">
        <v>50</v>
      </c>
      <c r="N854">
        <v>75103.199999999997</v>
      </c>
      <c r="O854">
        <v>15190.39</v>
      </c>
      <c r="P854" t="s">
        <v>33</v>
      </c>
      <c r="Q854" t="s">
        <v>75</v>
      </c>
    </row>
    <row r="855" spans="1:17" x14ac:dyDescent="0.25">
      <c r="A855">
        <v>954</v>
      </c>
      <c r="B855" t="s">
        <v>61</v>
      </c>
      <c r="C855" t="s">
        <v>68</v>
      </c>
      <c r="D855" t="s">
        <v>28</v>
      </c>
      <c r="E855" t="s">
        <v>103</v>
      </c>
      <c r="F855">
        <v>2</v>
      </c>
      <c r="G855">
        <v>28172</v>
      </c>
      <c r="H855" t="s">
        <v>316</v>
      </c>
      <c r="J855">
        <v>20</v>
      </c>
      <c r="K855" t="s">
        <v>58</v>
      </c>
      <c r="L855" t="s">
        <v>46</v>
      </c>
      <c r="M855" t="s">
        <v>23</v>
      </c>
      <c r="N855">
        <v>45075.199999999997</v>
      </c>
      <c r="O855">
        <v>4301.26</v>
      </c>
      <c r="P855" t="s">
        <v>24</v>
      </c>
      <c r="Q855" t="s">
        <v>75</v>
      </c>
    </row>
    <row r="856" spans="1:17" x14ac:dyDescent="0.25">
      <c r="A856">
        <v>955</v>
      </c>
      <c r="B856" t="s">
        <v>51</v>
      </c>
      <c r="C856" t="s">
        <v>17</v>
      </c>
      <c r="D856" t="s">
        <v>28</v>
      </c>
      <c r="E856" t="s">
        <v>103</v>
      </c>
      <c r="F856">
        <v>7</v>
      </c>
      <c r="G856">
        <v>63592</v>
      </c>
      <c r="H856" t="s">
        <v>595</v>
      </c>
      <c r="J856">
        <v>20</v>
      </c>
      <c r="K856" t="s">
        <v>58</v>
      </c>
      <c r="L856" t="s">
        <v>31</v>
      </c>
      <c r="M856" t="s">
        <v>39</v>
      </c>
      <c r="N856">
        <v>356115.20000000001</v>
      </c>
      <c r="O856">
        <v>104559.21</v>
      </c>
      <c r="P856" t="s">
        <v>24</v>
      </c>
      <c r="Q856" t="s">
        <v>25</v>
      </c>
    </row>
    <row r="857" spans="1:17" x14ac:dyDescent="0.25">
      <c r="A857">
        <v>956</v>
      </c>
      <c r="B857" t="s">
        <v>67</v>
      </c>
      <c r="C857" t="s">
        <v>27</v>
      </c>
      <c r="D857" t="s">
        <v>42</v>
      </c>
      <c r="E857" t="s">
        <v>59</v>
      </c>
      <c r="F857">
        <v>3</v>
      </c>
      <c r="G857">
        <v>64267</v>
      </c>
      <c r="H857" t="s">
        <v>596</v>
      </c>
      <c r="J857">
        <v>0</v>
      </c>
      <c r="K857" t="s">
        <v>38</v>
      </c>
      <c r="L857" t="s">
        <v>55</v>
      </c>
      <c r="M857" t="s">
        <v>81</v>
      </c>
      <c r="N857">
        <v>192801</v>
      </c>
      <c r="O857">
        <v>47030.34</v>
      </c>
      <c r="P857" t="s">
        <v>40</v>
      </c>
      <c r="Q857" t="s">
        <v>56</v>
      </c>
    </row>
    <row r="858" spans="1:17" x14ac:dyDescent="0.25">
      <c r="A858">
        <v>957</v>
      </c>
      <c r="B858" t="s">
        <v>51</v>
      </c>
      <c r="C858" t="s">
        <v>27</v>
      </c>
      <c r="D858" t="s">
        <v>76</v>
      </c>
      <c r="E858" t="s">
        <v>77</v>
      </c>
      <c r="F858">
        <v>2</v>
      </c>
      <c r="G858">
        <v>41449</v>
      </c>
      <c r="H858" t="s">
        <v>597</v>
      </c>
      <c r="J858">
        <v>10</v>
      </c>
      <c r="K858" t="s">
        <v>21</v>
      </c>
      <c r="L858" t="s">
        <v>55</v>
      </c>
      <c r="M858" t="s">
        <v>100</v>
      </c>
      <c r="N858">
        <v>74608.2</v>
      </c>
      <c r="O858">
        <v>13127.11</v>
      </c>
      <c r="P858" t="s">
        <v>24</v>
      </c>
      <c r="Q858" t="s">
        <v>25</v>
      </c>
    </row>
    <row r="859" spans="1:17" x14ac:dyDescent="0.25">
      <c r="A859">
        <v>958</v>
      </c>
      <c r="B859" t="s">
        <v>96</v>
      </c>
      <c r="C859" t="s">
        <v>68</v>
      </c>
      <c r="D859" t="s">
        <v>28</v>
      </c>
      <c r="E859" t="s">
        <v>48</v>
      </c>
      <c r="F859">
        <v>7</v>
      </c>
      <c r="G859">
        <v>39574</v>
      </c>
      <c r="H859" t="s">
        <v>491</v>
      </c>
      <c r="J859">
        <v>10</v>
      </c>
      <c r="K859" t="s">
        <v>21</v>
      </c>
      <c r="L859" t="s">
        <v>55</v>
      </c>
      <c r="M859" t="s">
        <v>23</v>
      </c>
      <c r="N859">
        <v>249316.2</v>
      </c>
      <c r="O859">
        <v>71607.839999999997</v>
      </c>
      <c r="P859" t="s">
        <v>33</v>
      </c>
      <c r="Q859" t="s">
        <v>75</v>
      </c>
    </row>
    <row r="860" spans="1:17" x14ac:dyDescent="0.25">
      <c r="A860">
        <v>959</v>
      </c>
      <c r="B860" t="s">
        <v>16</v>
      </c>
      <c r="C860" t="s">
        <v>27</v>
      </c>
      <c r="D860" t="s">
        <v>42</v>
      </c>
      <c r="E860" t="s">
        <v>59</v>
      </c>
      <c r="F860">
        <v>9</v>
      </c>
      <c r="G860">
        <v>12005</v>
      </c>
      <c r="H860" t="s">
        <v>219</v>
      </c>
      <c r="J860">
        <v>10</v>
      </c>
      <c r="K860" t="s">
        <v>45</v>
      </c>
      <c r="L860" t="s">
        <v>46</v>
      </c>
      <c r="M860" t="s">
        <v>23</v>
      </c>
      <c r="N860">
        <v>97240.5</v>
      </c>
      <c r="O860">
        <v>14242.24</v>
      </c>
      <c r="P860" t="s">
        <v>24</v>
      </c>
      <c r="Q860" t="s">
        <v>25</v>
      </c>
    </row>
    <row r="861" spans="1:17" x14ac:dyDescent="0.25">
      <c r="A861">
        <v>960</v>
      </c>
      <c r="B861" t="s">
        <v>84</v>
      </c>
      <c r="C861" t="s">
        <v>35</v>
      </c>
      <c r="D861" t="s">
        <v>76</v>
      </c>
      <c r="E861" t="s">
        <v>92</v>
      </c>
      <c r="F861">
        <v>10</v>
      </c>
      <c r="G861">
        <v>71851</v>
      </c>
      <c r="H861" t="s">
        <v>505</v>
      </c>
      <c r="J861">
        <v>10</v>
      </c>
      <c r="K861" t="s">
        <v>58</v>
      </c>
      <c r="L861" t="s">
        <v>31</v>
      </c>
      <c r="M861" t="s">
        <v>64</v>
      </c>
      <c r="N861">
        <v>646659</v>
      </c>
      <c r="O861">
        <v>150284.49</v>
      </c>
      <c r="P861" t="s">
        <v>65</v>
      </c>
      <c r="Q861" t="s">
        <v>75</v>
      </c>
    </row>
    <row r="862" spans="1:17" x14ac:dyDescent="0.25">
      <c r="A862">
        <v>961</v>
      </c>
      <c r="B862" t="s">
        <v>96</v>
      </c>
      <c r="C862" t="s">
        <v>35</v>
      </c>
      <c r="D862" t="s">
        <v>28</v>
      </c>
      <c r="E862" t="s">
        <v>29</v>
      </c>
      <c r="F862">
        <v>5</v>
      </c>
      <c r="G862">
        <v>16642</v>
      </c>
      <c r="H862" t="s">
        <v>598</v>
      </c>
      <c r="J862">
        <v>15</v>
      </c>
      <c r="K862" t="s">
        <v>58</v>
      </c>
      <c r="L862" t="s">
        <v>55</v>
      </c>
      <c r="M862" t="s">
        <v>32</v>
      </c>
      <c r="N862">
        <v>70728.5</v>
      </c>
      <c r="O862">
        <v>17666.75</v>
      </c>
      <c r="P862" t="s">
        <v>24</v>
      </c>
      <c r="Q862" t="s">
        <v>25</v>
      </c>
    </row>
    <row r="863" spans="1:17" x14ac:dyDescent="0.25">
      <c r="A863">
        <v>962</v>
      </c>
      <c r="B863" t="s">
        <v>51</v>
      </c>
      <c r="C863" t="s">
        <v>27</v>
      </c>
      <c r="D863" t="s">
        <v>76</v>
      </c>
      <c r="E863" t="s">
        <v>92</v>
      </c>
      <c r="F863">
        <v>1</v>
      </c>
      <c r="G863">
        <v>78999</v>
      </c>
      <c r="H863" t="s">
        <v>278</v>
      </c>
      <c r="J863">
        <v>15</v>
      </c>
      <c r="K863" t="s">
        <v>74</v>
      </c>
      <c r="L863" t="s">
        <v>46</v>
      </c>
      <c r="M863" t="s">
        <v>32</v>
      </c>
      <c r="N863">
        <v>67149.149999999994</v>
      </c>
      <c r="O863">
        <v>7998.49</v>
      </c>
      <c r="P863" t="s">
        <v>40</v>
      </c>
      <c r="Q863" t="s">
        <v>75</v>
      </c>
    </row>
    <row r="864" spans="1:17" x14ac:dyDescent="0.25">
      <c r="A864">
        <v>963</v>
      </c>
      <c r="B864" t="s">
        <v>67</v>
      </c>
      <c r="C864" t="s">
        <v>27</v>
      </c>
      <c r="D864" t="s">
        <v>69</v>
      </c>
      <c r="E864" t="s">
        <v>70</v>
      </c>
      <c r="F864">
        <v>6</v>
      </c>
      <c r="G864">
        <v>20981</v>
      </c>
      <c r="H864" t="s">
        <v>599</v>
      </c>
      <c r="J864">
        <v>15</v>
      </c>
      <c r="K864" t="s">
        <v>21</v>
      </c>
      <c r="L864" t="s">
        <v>22</v>
      </c>
      <c r="M864" t="s">
        <v>47</v>
      </c>
      <c r="N864">
        <v>107003.1</v>
      </c>
      <c r="O864">
        <v>18084.669999999998</v>
      </c>
      <c r="P864" t="s">
        <v>40</v>
      </c>
      <c r="Q864" t="s">
        <v>75</v>
      </c>
    </row>
    <row r="865" spans="1:17" x14ac:dyDescent="0.25">
      <c r="A865">
        <v>964</v>
      </c>
      <c r="B865" t="s">
        <v>34</v>
      </c>
      <c r="C865" t="s">
        <v>68</v>
      </c>
      <c r="D865" t="s">
        <v>28</v>
      </c>
      <c r="E865" t="s">
        <v>29</v>
      </c>
      <c r="F865">
        <v>4</v>
      </c>
      <c r="G865">
        <v>76215</v>
      </c>
      <c r="H865" t="s">
        <v>600</v>
      </c>
      <c r="J865">
        <v>15</v>
      </c>
      <c r="K865" t="s">
        <v>58</v>
      </c>
      <c r="L865" t="s">
        <v>31</v>
      </c>
      <c r="M865" t="s">
        <v>32</v>
      </c>
      <c r="N865">
        <v>259131</v>
      </c>
      <c r="O865">
        <v>23905.18</v>
      </c>
      <c r="P865" t="s">
        <v>40</v>
      </c>
      <c r="Q865" t="s">
        <v>25</v>
      </c>
    </row>
    <row r="866" spans="1:17" x14ac:dyDescent="0.25">
      <c r="A866">
        <v>965</v>
      </c>
      <c r="B866" t="s">
        <v>96</v>
      </c>
      <c r="C866" t="s">
        <v>68</v>
      </c>
      <c r="D866" t="s">
        <v>76</v>
      </c>
      <c r="E866" t="s">
        <v>92</v>
      </c>
      <c r="F866">
        <v>2</v>
      </c>
      <c r="G866">
        <v>61463</v>
      </c>
      <c r="H866" t="s">
        <v>601</v>
      </c>
      <c r="J866">
        <v>5</v>
      </c>
      <c r="K866" t="s">
        <v>74</v>
      </c>
      <c r="L866" t="s">
        <v>31</v>
      </c>
      <c r="M866" t="s">
        <v>100</v>
      </c>
      <c r="N866">
        <v>116779.7</v>
      </c>
      <c r="O866">
        <v>28522.16</v>
      </c>
      <c r="P866" t="s">
        <v>24</v>
      </c>
      <c r="Q866" t="s">
        <v>56</v>
      </c>
    </row>
    <row r="867" spans="1:17" x14ac:dyDescent="0.25">
      <c r="A867">
        <v>966</v>
      </c>
      <c r="B867" t="s">
        <v>91</v>
      </c>
      <c r="C867" t="s">
        <v>17</v>
      </c>
      <c r="D867" t="s">
        <v>18</v>
      </c>
      <c r="E867" t="s">
        <v>72</v>
      </c>
      <c r="F867">
        <v>6</v>
      </c>
      <c r="G867">
        <v>66657</v>
      </c>
      <c r="H867" t="s">
        <v>164</v>
      </c>
      <c r="J867">
        <v>5</v>
      </c>
      <c r="K867" t="s">
        <v>58</v>
      </c>
      <c r="L867" t="s">
        <v>22</v>
      </c>
      <c r="M867" t="s">
        <v>100</v>
      </c>
      <c r="N867">
        <v>379944.9</v>
      </c>
      <c r="O867">
        <v>109512.76</v>
      </c>
      <c r="P867" t="s">
        <v>24</v>
      </c>
      <c r="Q867" t="s">
        <v>25</v>
      </c>
    </row>
    <row r="868" spans="1:17" x14ac:dyDescent="0.25">
      <c r="A868">
        <v>967</v>
      </c>
      <c r="B868" t="s">
        <v>16</v>
      </c>
      <c r="C868" t="s">
        <v>35</v>
      </c>
      <c r="D868" t="s">
        <v>18</v>
      </c>
      <c r="E868" t="s">
        <v>72</v>
      </c>
      <c r="F868">
        <v>8</v>
      </c>
      <c r="G868">
        <v>78280</v>
      </c>
      <c r="H868" t="s">
        <v>602</v>
      </c>
      <c r="J868">
        <v>5</v>
      </c>
      <c r="K868" t="s">
        <v>54</v>
      </c>
      <c r="L868" t="s">
        <v>31</v>
      </c>
      <c r="M868" t="s">
        <v>81</v>
      </c>
      <c r="N868">
        <v>594928</v>
      </c>
      <c r="O868">
        <v>108385.87</v>
      </c>
      <c r="P868" t="s">
        <v>40</v>
      </c>
      <c r="Q868" t="s">
        <v>56</v>
      </c>
    </row>
    <row r="869" spans="1:17" x14ac:dyDescent="0.25">
      <c r="A869">
        <v>968</v>
      </c>
      <c r="B869" t="s">
        <v>115</v>
      </c>
      <c r="C869" t="s">
        <v>35</v>
      </c>
      <c r="D869" t="s">
        <v>28</v>
      </c>
      <c r="E869" t="s">
        <v>29</v>
      </c>
      <c r="F869">
        <v>2</v>
      </c>
      <c r="G869">
        <v>15629</v>
      </c>
      <c r="H869" t="s">
        <v>603</v>
      </c>
      <c r="J869">
        <v>5</v>
      </c>
      <c r="K869" t="s">
        <v>54</v>
      </c>
      <c r="L869" t="s">
        <v>22</v>
      </c>
      <c r="M869" t="s">
        <v>100</v>
      </c>
      <c r="N869">
        <v>29695.1</v>
      </c>
      <c r="O869">
        <v>4919.1499999999996</v>
      </c>
      <c r="P869" t="s">
        <v>65</v>
      </c>
      <c r="Q869" t="s">
        <v>75</v>
      </c>
    </row>
    <row r="870" spans="1:17" x14ac:dyDescent="0.25">
      <c r="A870">
        <v>969</v>
      </c>
      <c r="B870" t="s">
        <v>67</v>
      </c>
      <c r="C870" t="s">
        <v>68</v>
      </c>
      <c r="D870" t="s">
        <v>76</v>
      </c>
      <c r="E870" t="s">
        <v>101</v>
      </c>
      <c r="F870">
        <v>2</v>
      </c>
      <c r="G870">
        <v>12539</v>
      </c>
      <c r="H870" t="s">
        <v>604</v>
      </c>
      <c r="J870">
        <v>0</v>
      </c>
      <c r="K870" t="s">
        <v>74</v>
      </c>
      <c r="L870" t="s">
        <v>31</v>
      </c>
      <c r="M870" t="s">
        <v>100</v>
      </c>
      <c r="N870">
        <v>25078</v>
      </c>
      <c r="O870">
        <v>7504.59</v>
      </c>
      <c r="P870" t="s">
        <v>40</v>
      </c>
      <c r="Q870" t="s">
        <v>75</v>
      </c>
    </row>
    <row r="871" spans="1:17" x14ac:dyDescent="0.25">
      <c r="A871">
        <v>970</v>
      </c>
      <c r="B871" t="s">
        <v>94</v>
      </c>
      <c r="C871" t="s">
        <v>35</v>
      </c>
      <c r="D871" t="s">
        <v>42</v>
      </c>
      <c r="E871" t="s">
        <v>59</v>
      </c>
      <c r="F871">
        <v>10</v>
      </c>
      <c r="G871">
        <v>58894</v>
      </c>
      <c r="H871" t="s">
        <v>605</v>
      </c>
      <c r="J871">
        <v>5</v>
      </c>
      <c r="K871" t="s">
        <v>54</v>
      </c>
      <c r="L871" t="s">
        <v>22</v>
      </c>
      <c r="M871" t="s">
        <v>32</v>
      </c>
      <c r="N871">
        <v>559493</v>
      </c>
      <c r="O871">
        <v>55331.15</v>
      </c>
      <c r="P871" t="s">
        <v>40</v>
      </c>
      <c r="Q871" t="s">
        <v>25</v>
      </c>
    </row>
    <row r="872" spans="1:17" x14ac:dyDescent="0.25">
      <c r="A872">
        <v>971</v>
      </c>
      <c r="B872" t="s">
        <v>79</v>
      </c>
      <c r="C872" t="s">
        <v>27</v>
      </c>
      <c r="D872" t="s">
        <v>42</v>
      </c>
      <c r="E872" t="s">
        <v>52</v>
      </c>
      <c r="F872">
        <v>2</v>
      </c>
      <c r="G872">
        <v>52965</v>
      </c>
      <c r="H872" t="s">
        <v>128</v>
      </c>
      <c r="J872">
        <v>5</v>
      </c>
      <c r="K872" t="s">
        <v>74</v>
      </c>
      <c r="L872" t="s">
        <v>55</v>
      </c>
      <c r="M872" t="s">
        <v>32</v>
      </c>
      <c r="N872">
        <v>100633.5</v>
      </c>
      <c r="O872">
        <v>10944.11</v>
      </c>
      <c r="P872" t="s">
        <v>33</v>
      </c>
      <c r="Q872" t="s">
        <v>25</v>
      </c>
    </row>
    <row r="873" spans="1:17" x14ac:dyDescent="0.25">
      <c r="A873">
        <v>972</v>
      </c>
      <c r="B873" t="s">
        <v>79</v>
      </c>
      <c r="C873" t="s">
        <v>17</v>
      </c>
      <c r="D873" t="s">
        <v>76</v>
      </c>
      <c r="E873" t="s">
        <v>101</v>
      </c>
      <c r="F873">
        <v>4</v>
      </c>
      <c r="G873">
        <v>26697</v>
      </c>
      <c r="H873" t="s">
        <v>488</v>
      </c>
      <c r="J873">
        <v>5</v>
      </c>
      <c r="K873" t="s">
        <v>45</v>
      </c>
      <c r="L873" t="s">
        <v>31</v>
      </c>
      <c r="M873" t="s">
        <v>100</v>
      </c>
      <c r="N873">
        <v>101448.6</v>
      </c>
      <c r="O873">
        <v>22786.54</v>
      </c>
      <c r="P873" t="s">
        <v>33</v>
      </c>
      <c r="Q873" t="s">
        <v>56</v>
      </c>
    </row>
    <row r="874" spans="1:17" x14ac:dyDescent="0.25">
      <c r="A874">
        <v>973</v>
      </c>
      <c r="B874" t="s">
        <v>109</v>
      </c>
      <c r="C874" t="s">
        <v>17</v>
      </c>
      <c r="D874" t="s">
        <v>69</v>
      </c>
      <c r="E874" t="s">
        <v>98</v>
      </c>
      <c r="F874">
        <v>5</v>
      </c>
      <c r="G874">
        <v>45865</v>
      </c>
      <c r="H874" t="s">
        <v>423</v>
      </c>
      <c r="J874">
        <v>0</v>
      </c>
      <c r="K874" t="s">
        <v>74</v>
      </c>
      <c r="L874" t="s">
        <v>31</v>
      </c>
      <c r="M874" t="s">
        <v>23</v>
      </c>
      <c r="N874">
        <v>229325</v>
      </c>
      <c r="O874">
        <v>33696.910000000003</v>
      </c>
      <c r="P874" t="s">
        <v>40</v>
      </c>
      <c r="Q874" t="s">
        <v>25</v>
      </c>
    </row>
    <row r="875" spans="1:17" x14ac:dyDescent="0.25">
      <c r="A875">
        <v>974</v>
      </c>
      <c r="B875" t="s">
        <v>94</v>
      </c>
      <c r="C875" t="s">
        <v>17</v>
      </c>
      <c r="D875" t="s">
        <v>69</v>
      </c>
      <c r="E875" t="s">
        <v>121</v>
      </c>
      <c r="F875">
        <v>8</v>
      </c>
      <c r="G875">
        <v>29001</v>
      </c>
      <c r="H875" t="s">
        <v>513</v>
      </c>
      <c r="J875">
        <v>5</v>
      </c>
      <c r="K875" t="s">
        <v>21</v>
      </c>
      <c r="L875" t="s">
        <v>31</v>
      </c>
      <c r="M875" t="s">
        <v>64</v>
      </c>
      <c r="N875">
        <v>220407.6</v>
      </c>
      <c r="O875">
        <v>49850.95</v>
      </c>
      <c r="P875" t="s">
        <v>65</v>
      </c>
      <c r="Q875" t="s">
        <v>25</v>
      </c>
    </row>
    <row r="876" spans="1:17" x14ac:dyDescent="0.25">
      <c r="A876">
        <v>975</v>
      </c>
      <c r="B876" t="s">
        <v>96</v>
      </c>
      <c r="C876" t="s">
        <v>68</v>
      </c>
      <c r="D876" t="s">
        <v>69</v>
      </c>
      <c r="E876" t="s">
        <v>70</v>
      </c>
      <c r="F876">
        <v>8</v>
      </c>
      <c r="G876">
        <v>42167</v>
      </c>
      <c r="H876" t="s">
        <v>160</v>
      </c>
      <c r="J876">
        <v>5</v>
      </c>
      <c r="K876" t="s">
        <v>74</v>
      </c>
      <c r="L876" t="s">
        <v>46</v>
      </c>
      <c r="M876" t="s">
        <v>100</v>
      </c>
      <c r="N876">
        <v>320469.2</v>
      </c>
      <c r="O876">
        <v>71498.34</v>
      </c>
      <c r="P876" t="s">
        <v>33</v>
      </c>
      <c r="Q876" t="s">
        <v>56</v>
      </c>
    </row>
    <row r="877" spans="1:17" x14ac:dyDescent="0.25">
      <c r="A877">
        <v>976</v>
      </c>
      <c r="B877" t="s">
        <v>79</v>
      </c>
      <c r="C877" t="s">
        <v>17</v>
      </c>
      <c r="D877" t="s">
        <v>42</v>
      </c>
      <c r="E877" t="s">
        <v>43</v>
      </c>
      <c r="F877">
        <v>9</v>
      </c>
      <c r="G877">
        <v>72942</v>
      </c>
      <c r="H877" t="s">
        <v>118</v>
      </c>
      <c r="J877">
        <v>15</v>
      </c>
      <c r="K877" t="s">
        <v>74</v>
      </c>
      <c r="L877" t="s">
        <v>55</v>
      </c>
      <c r="M877" t="s">
        <v>50</v>
      </c>
      <c r="N877">
        <v>558006.30000000005</v>
      </c>
      <c r="O877">
        <v>91657.89</v>
      </c>
      <c r="P877" t="s">
        <v>24</v>
      </c>
      <c r="Q877" t="s">
        <v>56</v>
      </c>
    </row>
    <row r="878" spans="1:17" x14ac:dyDescent="0.25">
      <c r="A878">
        <v>977</v>
      </c>
      <c r="B878" t="s">
        <v>61</v>
      </c>
      <c r="C878" t="s">
        <v>68</v>
      </c>
      <c r="D878" t="s">
        <v>76</v>
      </c>
      <c r="E878" t="s">
        <v>77</v>
      </c>
      <c r="F878">
        <v>4</v>
      </c>
      <c r="G878">
        <v>77762</v>
      </c>
      <c r="H878" t="s">
        <v>130</v>
      </c>
      <c r="J878">
        <v>15</v>
      </c>
      <c r="K878" t="s">
        <v>54</v>
      </c>
      <c r="L878" t="s">
        <v>46</v>
      </c>
      <c r="M878" t="s">
        <v>81</v>
      </c>
      <c r="N878">
        <v>264390.8</v>
      </c>
      <c r="O878">
        <v>25276.81</v>
      </c>
      <c r="P878" t="s">
        <v>24</v>
      </c>
      <c r="Q878" t="s">
        <v>25</v>
      </c>
    </row>
    <row r="879" spans="1:17" x14ac:dyDescent="0.25">
      <c r="A879">
        <v>978</v>
      </c>
      <c r="B879" t="s">
        <v>107</v>
      </c>
      <c r="C879" t="s">
        <v>68</v>
      </c>
      <c r="D879" t="s">
        <v>69</v>
      </c>
      <c r="E879" t="s">
        <v>98</v>
      </c>
      <c r="F879">
        <v>4</v>
      </c>
      <c r="G879">
        <v>7867</v>
      </c>
      <c r="H879" t="s">
        <v>298</v>
      </c>
      <c r="J879">
        <v>15</v>
      </c>
      <c r="K879" t="s">
        <v>38</v>
      </c>
      <c r="L879" t="s">
        <v>46</v>
      </c>
      <c r="M879" t="s">
        <v>39</v>
      </c>
      <c r="N879">
        <v>26747.8</v>
      </c>
      <c r="O879">
        <v>6862.38</v>
      </c>
      <c r="P879" t="s">
        <v>40</v>
      </c>
      <c r="Q879" t="s">
        <v>25</v>
      </c>
    </row>
    <row r="880" spans="1:17" x14ac:dyDescent="0.25">
      <c r="A880">
        <v>979</v>
      </c>
      <c r="B880" t="s">
        <v>115</v>
      </c>
      <c r="C880" t="s">
        <v>68</v>
      </c>
      <c r="D880" t="s">
        <v>69</v>
      </c>
      <c r="E880" t="s">
        <v>98</v>
      </c>
      <c r="F880">
        <v>9</v>
      </c>
      <c r="G880">
        <v>77898</v>
      </c>
      <c r="H880" t="s">
        <v>606</v>
      </c>
      <c r="J880">
        <v>15</v>
      </c>
      <c r="K880" t="s">
        <v>54</v>
      </c>
      <c r="L880" t="s">
        <v>22</v>
      </c>
      <c r="M880" t="s">
        <v>47</v>
      </c>
      <c r="N880">
        <v>595919.69999999995</v>
      </c>
      <c r="O880">
        <v>50023.55</v>
      </c>
      <c r="P880" t="s">
        <v>33</v>
      </c>
      <c r="Q880" t="s">
        <v>56</v>
      </c>
    </row>
    <row r="881" spans="1:17" x14ac:dyDescent="0.25">
      <c r="A881">
        <v>980</v>
      </c>
      <c r="B881" t="s">
        <v>51</v>
      </c>
      <c r="C881" t="s">
        <v>35</v>
      </c>
      <c r="D881" t="s">
        <v>18</v>
      </c>
      <c r="E881" t="s">
        <v>19</v>
      </c>
      <c r="F881">
        <v>6</v>
      </c>
      <c r="G881">
        <v>28973</v>
      </c>
      <c r="H881" t="s">
        <v>376</v>
      </c>
      <c r="J881">
        <v>5</v>
      </c>
      <c r="K881" t="s">
        <v>74</v>
      </c>
      <c r="L881" t="s">
        <v>22</v>
      </c>
      <c r="M881" t="s">
        <v>100</v>
      </c>
      <c r="N881">
        <v>165146.1</v>
      </c>
      <c r="O881">
        <v>15921.84</v>
      </c>
      <c r="P881" t="s">
        <v>24</v>
      </c>
      <c r="Q881" t="s">
        <v>75</v>
      </c>
    </row>
    <row r="882" spans="1:17" x14ac:dyDescent="0.25">
      <c r="A882">
        <v>981</v>
      </c>
      <c r="B882" t="s">
        <v>51</v>
      </c>
      <c r="C882" t="s">
        <v>27</v>
      </c>
      <c r="D882" t="s">
        <v>18</v>
      </c>
      <c r="E882" t="s">
        <v>36</v>
      </c>
      <c r="F882">
        <v>8</v>
      </c>
      <c r="G882">
        <v>66130</v>
      </c>
      <c r="H882" t="s">
        <v>428</v>
      </c>
      <c r="J882">
        <v>0</v>
      </c>
      <c r="K882" t="s">
        <v>74</v>
      </c>
      <c r="L882" t="s">
        <v>46</v>
      </c>
      <c r="M882" t="s">
        <v>100</v>
      </c>
      <c r="N882">
        <v>529040</v>
      </c>
      <c r="O882">
        <v>133057.49</v>
      </c>
      <c r="P882" t="s">
        <v>24</v>
      </c>
      <c r="Q882" t="s">
        <v>75</v>
      </c>
    </row>
    <row r="883" spans="1:17" x14ac:dyDescent="0.25">
      <c r="A883">
        <v>982</v>
      </c>
      <c r="B883" t="s">
        <v>51</v>
      </c>
      <c r="C883" t="s">
        <v>68</v>
      </c>
      <c r="D883" t="s">
        <v>69</v>
      </c>
      <c r="E883" t="s">
        <v>70</v>
      </c>
      <c r="F883">
        <v>1</v>
      </c>
      <c r="G883">
        <v>70076</v>
      </c>
      <c r="H883" t="s">
        <v>386</v>
      </c>
      <c r="J883">
        <v>5</v>
      </c>
      <c r="K883" t="s">
        <v>45</v>
      </c>
      <c r="L883" t="s">
        <v>55</v>
      </c>
      <c r="M883" t="s">
        <v>50</v>
      </c>
      <c r="N883">
        <v>66572.2</v>
      </c>
      <c r="O883">
        <v>9836.74</v>
      </c>
      <c r="P883" t="s">
        <v>33</v>
      </c>
      <c r="Q883" t="s">
        <v>56</v>
      </c>
    </row>
    <row r="884" spans="1:17" x14ac:dyDescent="0.25">
      <c r="A884">
        <v>983</v>
      </c>
      <c r="B884" t="s">
        <v>79</v>
      </c>
      <c r="C884" t="s">
        <v>35</v>
      </c>
      <c r="D884" t="s">
        <v>42</v>
      </c>
      <c r="E884" t="s">
        <v>43</v>
      </c>
      <c r="F884">
        <v>6</v>
      </c>
      <c r="G884">
        <v>18458</v>
      </c>
      <c r="H884" t="s">
        <v>151</v>
      </c>
      <c r="J884">
        <v>5</v>
      </c>
      <c r="K884" t="s">
        <v>54</v>
      </c>
      <c r="L884" t="s">
        <v>31</v>
      </c>
      <c r="M884" t="s">
        <v>47</v>
      </c>
      <c r="N884">
        <v>105210.6</v>
      </c>
      <c r="O884">
        <v>31513.66</v>
      </c>
      <c r="P884" t="s">
        <v>40</v>
      </c>
      <c r="Q884" t="s">
        <v>75</v>
      </c>
    </row>
    <row r="885" spans="1:17" x14ac:dyDescent="0.25">
      <c r="A885">
        <v>984</v>
      </c>
      <c r="B885" t="s">
        <v>96</v>
      </c>
      <c r="C885" t="s">
        <v>27</v>
      </c>
      <c r="D885" t="s">
        <v>76</v>
      </c>
      <c r="E885" t="s">
        <v>77</v>
      </c>
      <c r="F885">
        <v>10</v>
      </c>
      <c r="G885">
        <v>79106</v>
      </c>
      <c r="H885" t="s">
        <v>493</v>
      </c>
      <c r="J885">
        <v>20</v>
      </c>
      <c r="K885" t="s">
        <v>38</v>
      </c>
      <c r="L885" t="s">
        <v>31</v>
      </c>
      <c r="M885" t="s">
        <v>47</v>
      </c>
      <c r="N885">
        <v>632848</v>
      </c>
      <c r="O885">
        <v>188292.16</v>
      </c>
      <c r="P885" t="s">
        <v>65</v>
      </c>
      <c r="Q885" t="s">
        <v>75</v>
      </c>
    </row>
    <row r="886" spans="1:17" x14ac:dyDescent="0.25">
      <c r="A886">
        <v>985</v>
      </c>
      <c r="B886" t="s">
        <v>34</v>
      </c>
      <c r="C886" t="s">
        <v>68</v>
      </c>
      <c r="D886" t="s">
        <v>42</v>
      </c>
      <c r="E886" t="s">
        <v>52</v>
      </c>
      <c r="F886">
        <v>10</v>
      </c>
      <c r="G886">
        <v>59321</v>
      </c>
      <c r="H886" t="s">
        <v>607</v>
      </c>
      <c r="J886">
        <v>20</v>
      </c>
      <c r="K886" t="s">
        <v>38</v>
      </c>
      <c r="L886" t="s">
        <v>22</v>
      </c>
      <c r="M886" t="s">
        <v>32</v>
      </c>
      <c r="N886">
        <v>474568</v>
      </c>
      <c r="O886">
        <v>121124.51</v>
      </c>
      <c r="P886" t="s">
        <v>33</v>
      </c>
      <c r="Q886" t="s">
        <v>75</v>
      </c>
    </row>
    <row r="887" spans="1:17" x14ac:dyDescent="0.25">
      <c r="A887">
        <v>986</v>
      </c>
      <c r="B887" t="s">
        <v>41</v>
      </c>
      <c r="C887" t="s">
        <v>27</v>
      </c>
      <c r="D887" t="s">
        <v>42</v>
      </c>
      <c r="E887" t="s">
        <v>43</v>
      </c>
      <c r="F887">
        <v>4</v>
      </c>
      <c r="G887">
        <v>31432</v>
      </c>
      <c r="H887" t="s">
        <v>559</v>
      </c>
      <c r="J887">
        <v>20</v>
      </c>
      <c r="K887" t="s">
        <v>45</v>
      </c>
      <c r="L887" t="s">
        <v>55</v>
      </c>
      <c r="M887" t="s">
        <v>39</v>
      </c>
      <c r="N887">
        <v>100582.39999999999</v>
      </c>
      <c r="O887">
        <v>20283.45</v>
      </c>
      <c r="P887" t="s">
        <v>40</v>
      </c>
      <c r="Q887" t="s">
        <v>75</v>
      </c>
    </row>
    <row r="888" spans="1:17" x14ac:dyDescent="0.25">
      <c r="A888">
        <v>987</v>
      </c>
      <c r="B888" t="s">
        <v>94</v>
      </c>
      <c r="C888" t="s">
        <v>27</v>
      </c>
      <c r="D888" t="s">
        <v>18</v>
      </c>
      <c r="E888" t="s">
        <v>72</v>
      </c>
      <c r="F888">
        <v>6</v>
      </c>
      <c r="G888">
        <v>18896</v>
      </c>
      <c r="H888" t="s">
        <v>146</v>
      </c>
      <c r="J888">
        <v>20</v>
      </c>
      <c r="K888" t="s">
        <v>38</v>
      </c>
      <c r="L888" t="s">
        <v>46</v>
      </c>
      <c r="M888" t="s">
        <v>47</v>
      </c>
      <c r="N888">
        <v>90700.800000000003</v>
      </c>
      <c r="O888">
        <v>8633.57</v>
      </c>
      <c r="P888" t="s">
        <v>33</v>
      </c>
      <c r="Q888" t="s">
        <v>25</v>
      </c>
    </row>
    <row r="889" spans="1:17" x14ac:dyDescent="0.25">
      <c r="A889">
        <v>988</v>
      </c>
      <c r="B889" t="s">
        <v>94</v>
      </c>
      <c r="C889" t="s">
        <v>35</v>
      </c>
      <c r="D889" t="s">
        <v>28</v>
      </c>
      <c r="E889" t="s">
        <v>48</v>
      </c>
      <c r="F889">
        <v>2</v>
      </c>
      <c r="G889">
        <v>23708</v>
      </c>
      <c r="H889" t="s">
        <v>608</v>
      </c>
      <c r="J889">
        <v>0</v>
      </c>
      <c r="K889" t="s">
        <v>45</v>
      </c>
      <c r="L889" t="s">
        <v>22</v>
      </c>
      <c r="M889" t="s">
        <v>39</v>
      </c>
      <c r="N889">
        <v>47416</v>
      </c>
      <c r="O889">
        <v>7985.9</v>
      </c>
      <c r="P889" t="s">
        <v>40</v>
      </c>
      <c r="Q889" t="s">
        <v>25</v>
      </c>
    </row>
    <row r="890" spans="1:17" x14ac:dyDescent="0.25">
      <c r="A890">
        <v>989</v>
      </c>
      <c r="B890" t="s">
        <v>51</v>
      </c>
      <c r="C890" t="s">
        <v>27</v>
      </c>
      <c r="D890" t="s">
        <v>69</v>
      </c>
      <c r="E890" t="s">
        <v>98</v>
      </c>
      <c r="F890">
        <v>10</v>
      </c>
      <c r="G890">
        <v>60256</v>
      </c>
      <c r="H890" t="s">
        <v>609</v>
      </c>
      <c r="J890">
        <v>10</v>
      </c>
      <c r="K890" t="s">
        <v>38</v>
      </c>
      <c r="L890" t="s">
        <v>46</v>
      </c>
      <c r="M890" t="s">
        <v>81</v>
      </c>
      <c r="N890">
        <v>542304</v>
      </c>
      <c r="O890">
        <v>59265.65</v>
      </c>
      <c r="P890" t="s">
        <v>33</v>
      </c>
      <c r="Q890" t="s">
        <v>56</v>
      </c>
    </row>
    <row r="891" spans="1:17" x14ac:dyDescent="0.25">
      <c r="A891">
        <v>990</v>
      </c>
      <c r="B891" t="s">
        <v>79</v>
      </c>
      <c r="C891" t="s">
        <v>17</v>
      </c>
      <c r="D891" t="s">
        <v>76</v>
      </c>
      <c r="E891" t="s">
        <v>92</v>
      </c>
      <c r="F891">
        <v>7</v>
      </c>
      <c r="G891">
        <v>54702</v>
      </c>
      <c r="H891" t="s">
        <v>287</v>
      </c>
      <c r="J891">
        <v>10</v>
      </c>
      <c r="K891" t="s">
        <v>54</v>
      </c>
      <c r="L891" t="s">
        <v>55</v>
      </c>
      <c r="M891" t="s">
        <v>47</v>
      </c>
      <c r="N891">
        <v>344622.6</v>
      </c>
      <c r="O891">
        <v>30372.75</v>
      </c>
      <c r="P891" t="s">
        <v>24</v>
      </c>
      <c r="Q891" t="s">
        <v>75</v>
      </c>
    </row>
    <row r="892" spans="1:17" x14ac:dyDescent="0.25">
      <c r="A892">
        <v>991</v>
      </c>
      <c r="B892" t="s">
        <v>109</v>
      </c>
      <c r="C892" t="s">
        <v>68</v>
      </c>
      <c r="D892" t="s">
        <v>42</v>
      </c>
      <c r="E892" t="s">
        <v>59</v>
      </c>
      <c r="F892">
        <v>9</v>
      </c>
      <c r="G892">
        <v>67648</v>
      </c>
      <c r="H892" t="s">
        <v>610</v>
      </c>
      <c r="J892">
        <v>10</v>
      </c>
      <c r="K892" t="s">
        <v>45</v>
      </c>
      <c r="L892" t="s">
        <v>22</v>
      </c>
      <c r="M892" t="s">
        <v>64</v>
      </c>
      <c r="N892">
        <v>547948.80000000005</v>
      </c>
      <c r="O892">
        <v>88120.59</v>
      </c>
      <c r="P892" t="s">
        <v>33</v>
      </c>
      <c r="Q892" t="s">
        <v>75</v>
      </c>
    </row>
    <row r="893" spans="1:17" x14ac:dyDescent="0.25">
      <c r="A893">
        <v>992</v>
      </c>
      <c r="B893" t="s">
        <v>67</v>
      </c>
      <c r="C893" t="s">
        <v>35</v>
      </c>
      <c r="D893" t="s">
        <v>18</v>
      </c>
      <c r="E893" t="s">
        <v>72</v>
      </c>
      <c r="F893">
        <v>3</v>
      </c>
      <c r="G893">
        <v>3929</v>
      </c>
      <c r="H893" t="s">
        <v>598</v>
      </c>
      <c r="J893">
        <v>15</v>
      </c>
      <c r="K893" t="s">
        <v>38</v>
      </c>
      <c r="L893" t="s">
        <v>55</v>
      </c>
      <c r="M893" t="s">
        <v>23</v>
      </c>
      <c r="N893">
        <v>10018.950000000001</v>
      </c>
      <c r="O893">
        <v>2520.1799999999998</v>
      </c>
      <c r="P893" t="s">
        <v>65</v>
      </c>
      <c r="Q893" t="s">
        <v>25</v>
      </c>
    </row>
    <row r="894" spans="1:17" x14ac:dyDescent="0.25">
      <c r="A894">
        <v>993</v>
      </c>
      <c r="B894" t="s">
        <v>109</v>
      </c>
      <c r="C894" t="s">
        <v>35</v>
      </c>
      <c r="D894" t="s">
        <v>42</v>
      </c>
      <c r="E894" t="s">
        <v>59</v>
      </c>
      <c r="F894">
        <v>5</v>
      </c>
      <c r="G894">
        <v>58008</v>
      </c>
      <c r="H894" t="s">
        <v>611</v>
      </c>
      <c r="J894">
        <v>0</v>
      </c>
      <c r="K894" t="s">
        <v>21</v>
      </c>
      <c r="L894" t="s">
        <v>31</v>
      </c>
      <c r="M894" t="s">
        <v>100</v>
      </c>
      <c r="N894">
        <v>290040</v>
      </c>
      <c r="O894">
        <v>72982.490000000005</v>
      </c>
      <c r="P894" t="s">
        <v>24</v>
      </c>
      <c r="Q894" t="s">
        <v>25</v>
      </c>
    </row>
    <row r="895" spans="1:17" x14ac:dyDescent="0.25">
      <c r="A895">
        <v>994</v>
      </c>
      <c r="B895" t="s">
        <v>67</v>
      </c>
      <c r="C895" t="s">
        <v>17</v>
      </c>
      <c r="D895" t="s">
        <v>76</v>
      </c>
      <c r="E895" t="s">
        <v>101</v>
      </c>
      <c r="F895">
        <v>7</v>
      </c>
      <c r="G895">
        <v>65082</v>
      </c>
      <c r="H895" t="s">
        <v>199</v>
      </c>
      <c r="J895">
        <v>5</v>
      </c>
      <c r="K895" t="s">
        <v>58</v>
      </c>
      <c r="L895" t="s">
        <v>46</v>
      </c>
      <c r="M895" t="s">
        <v>39</v>
      </c>
      <c r="N895">
        <v>432795.3</v>
      </c>
      <c r="O895">
        <v>36492.43</v>
      </c>
      <c r="P895" t="s">
        <v>65</v>
      </c>
      <c r="Q895" t="s">
        <v>56</v>
      </c>
    </row>
    <row r="896" spans="1:17" x14ac:dyDescent="0.25">
      <c r="A896">
        <v>995</v>
      </c>
      <c r="B896" t="s">
        <v>34</v>
      </c>
      <c r="C896" t="s">
        <v>17</v>
      </c>
      <c r="D896" t="s">
        <v>28</v>
      </c>
      <c r="E896" t="s">
        <v>103</v>
      </c>
      <c r="F896">
        <v>4</v>
      </c>
      <c r="G896">
        <v>38233</v>
      </c>
      <c r="H896" t="s">
        <v>612</v>
      </c>
      <c r="J896">
        <v>15</v>
      </c>
      <c r="K896" t="s">
        <v>74</v>
      </c>
      <c r="L896" t="s">
        <v>55</v>
      </c>
      <c r="M896" t="s">
        <v>47</v>
      </c>
      <c r="N896">
        <v>129992.2</v>
      </c>
      <c r="O896">
        <v>38111.589999999997</v>
      </c>
      <c r="P896" t="s">
        <v>40</v>
      </c>
      <c r="Q896" t="s">
        <v>25</v>
      </c>
    </row>
    <row r="897" spans="1:17" x14ac:dyDescent="0.25">
      <c r="A897">
        <v>996</v>
      </c>
      <c r="B897" t="s">
        <v>26</v>
      </c>
      <c r="C897" t="s">
        <v>17</v>
      </c>
      <c r="D897" t="s">
        <v>18</v>
      </c>
      <c r="E897" t="s">
        <v>36</v>
      </c>
      <c r="F897">
        <v>1</v>
      </c>
      <c r="G897">
        <v>70201</v>
      </c>
      <c r="H897" t="s">
        <v>552</v>
      </c>
      <c r="J897">
        <v>20</v>
      </c>
      <c r="K897" t="s">
        <v>54</v>
      </c>
      <c r="L897" t="s">
        <v>31</v>
      </c>
      <c r="M897" t="s">
        <v>23</v>
      </c>
      <c r="N897">
        <v>56160.800000000003</v>
      </c>
      <c r="O897">
        <v>5293.33</v>
      </c>
      <c r="P897" t="s">
        <v>65</v>
      </c>
      <c r="Q897" t="s">
        <v>25</v>
      </c>
    </row>
    <row r="898" spans="1:17" x14ac:dyDescent="0.25">
      <c r="A898">
        <v>997</v>
      </c>
      <c r="B898" t="s">
        <v>84</v>
      </c>
      <c r="C898" t="s">
        <v>17</v>
      </c>
      <c r="D898" t="s">
        <v>76</v>
      </c>
      <c r="E898" t="s">
        <v>101</v>
      </c>
      <c r="F898">
        <v>4</v>
      </c>
      <c r="G898">
        <v>70250</v>
      </c>
      <c r="H898" t="s">
        <v>613</v>
      </c>
      <c r="J898">
        <v>0</v>
      </c>
      <c r="K898" t="s">
        <v>54</v>
      </c>
      <c r="L898" t="s">
        <v>46</v>
      </c>
      <c r="M898" t="s">
        <v>50</v>
      </c>
      <c r="N898">
        <v>281000</v>
      </c>
      <c r="O898">
        <v>67758.28</v>
      </c>
      <c r="P898" t="s">
        <v>65</v>
      </c>
      <c r="Q898" t="s">
        <v>75</v>
      </c>
    </row>
    <row r="899" spans="1:17" x14ac:dyDescent="0.25">
      <c r="A899">
        <v>998</v>
      </c>
      <c r="B899" t="s">
        <v>34</v>
      </c>
      <c r="C899" t="s">
        <v>17</v>
      </c>
      <c r="D899" t="s">
        <v>18</v>
      </c>
      <c r="E899" t="s">
        <v>36</v>
      </c>
      <c r="F899">
        <v>7</v>
      </c>
      <c r="G899">
        <v>62369</v>
      </c>
      <c r="H899" t="s">
        <v>189</v>
      </c>
      <c r="J899">
        <v>0</v>
      </c>
      <c r="K899" t="s">
        <v>54</v>
      </c>
      <c r="L899" t="s">
        <v>55</v>
      </c>
      <c r="M899" t="s">
        <v>23</v>
      </c>
      <c r="N899">
        <v>436583</v>
      </c>
      <c r="O899">
        <v>93914.77</v>
      </c>
      <c r="P899" t="s">
        <v>24</v>
      </c>
      <c r="Q899" t="s">
        <v>56</v>
      </c>
    </row>
    <row r="900" spans="1:17" x14ac:dyDescent="0.25">
      <c r="A900">
        <v>999</v>
      </c>
      <c r="B900" t="s">
        <v>107</v>
      </c>
      <c r="C900" t="s">
        <v>68</v>
      </c>
      <c r="D900" t="s">
        <v>76</v>
      </c>
      <c r="E900" t="s">
        <v>92</v>
      </c>
      <c r="F900">
        <v>4</v>
      </c>
      <c r="G900">
        <v>68055</v>
      </c>
      <c r="H900" t="s">
        <v>256</v>
      </c>
      <c r="J900">
        <v>5</v>
      </c>
      <c r="K900" t="s">
        <v>21</v>
      </c>
      <c r="L900" t="s">
        <v>22</v>
      </c>
      <c r="M900" t="s">
        <v>64</v>
      </c>
      <c r="N900">
        <v>258609</v>
      </c>
      <c r="O900">
        <v>27334.95</v>
      </c>
      <c r="P900" t="s">
        <v>24</v>
      </c>
      <c r="Q900" t="s">
        <v>25</v>
      </c>
    </row>
    <row r="901" spans="1:17" x14ac:dyDescent="0.25">
      <c r="A901">
        <v>1000</v>
      </c>
      <c r="B901" t="s">
        <v>79</v>
      </c>
      <c r="C901" t="s">
        <v>68</v>
      </c>
      <c r="D901" t="s">
        <v>76</v>
      </c>
      <c r="E901" t="s">
        <v>101</v>
      </c>
      <c r="F901">
        <v>9</v>
      </c>
      <c r="G901">
        <v>71859</v>
      </c>
      <c r="H901" t="s">
        <v>214</v>
      </c>
      <c r="J901">
        <v>15</v>
      </c>
      <c r="K901" t="s">
        <v>45</v>
      </c>
      <c r="L901" t="s">
        <v>55</v>
      </c>
      <c r="M901" t="s">
        <v>47</v>
      </c>
      <c r="N901">
        <v>549721.35</v>
      </c>
      <c r="O901">
        <v>143502.25</v>
      </c>
      <c r="P901" t="s">
        <v>33</v>
      </c>
      <c r="Q901" t="s">
        <v>56</v>
      </c>
    </row>
    <row r="902" spans="1:17" x14ac:dyDescent="0.25">
      <c r="A902">
        <v>1001</v>
      </c>
      <c r="B902" t="s">
        <v>84</v>
      </c>
      <c r="C902" t="s">
        <v>17</v>
      </c>
      <c r="D902" t="s">
        <v>69</v>
      </c>
      <c r="E902" t="s">
        <v>70</v>
      </c>
      <c r="F902">
        <v>2</v>
      </c>
      <c r="G902">
        <v>21646</v>
      </c>
      <c r="H902" t="s">
        <v>239</v>
      </c>
      <c r="J902">
        <v>10</v>
      </c>
      <c r="K902" t="s">
        <v>21</v>
      </c>
      <c r="L902" t="s">
        <v>22</v>
      </c>
      <c r="M902" t="s">
        <v>81</v>
      </c>
      <c r="N902">
        <v>38962.800000000003</v>
      </c>
      <c r="O902">
        <v>11461.13</v>
      </c>
      <c r="P902" t="s">
        <v>33</v>
      </c>
      <c r="Q902" t="s">
        <v>56</v>
      </c>
    </row>
    <row r="903" spans="1:17" x14ac:dyDescent="0.25">
      <c r="A903">
        <v>1002</v>
      </c>
      <c r="B903" t="s">
        <v>94</v>
      </c>
      <c r="C903" t="s">
        <v>35</v>
      </c>
      <c r="D903" t="s">
        <v>42</v>
      </c>
      <c r="E903" t="s">
        <v>52</v>
      </c>
      <c r="F903">
        <v>10</v>
      </c>
      <c r="G903">
        <v>71591</v>
      </c>
      <c r="H903" t="s">
        <v>614</v>
      </c>
      <c r="J903">
        <v>20</v>
      </c>
      <c r="K903" t="s">
        <v>74</v>
      </c>
      <c r="L903" t="s">
        <v>22</v>
      </c>
      <c r="M903" t="s">
        <v>47</v>
      </c>
      <c r="N903">
        <v>572728</v>
      </c>
      <c r="O903">
        <v>83914.41</v>
      </c>
      <c r="P903" t="s">
        <v>24</v>
      </c>
      <c r="Q903" t="s">
        <v>75</v>
      </c>
    </row>
    <row r="904" spans="1:17" x14ac:dyDescent="0.25">
      <c r="A904">
        <v>1003</v>
      </c>
      <c r="B904" t="s">
        <v>84</v>
      </c>
      <c r="C904" t="s">
        <v>68</v>
      </c>
      <c r="D904" t="s">
        <v>28</v>
      </c>
      <c r="E904" t="s">
        <v>103</v>
      </c>
      <c r="F904">
        <v>2</v>
      </c>
      <c r="G904">
        <v>31232</v>
      </c>
      <c r="H904" t="s">
        <v>354</v>
      </c>
      <c r="J904">
        <v>20</v>
      </c>
      <c r="K904" t="s">
        <v>74</v>
      </c>
      <c r="L904" t="s">
        <v>31</v>
      </c>
      <c r="M904" t="s">
        <v>47</v>
      </c>
      <c r="N904">
        <v>49971.199999999997</v>
      </c>
      <c r="O904">
        <v>12506.53</v>
      </c>
      <c r="P904" t="s">
        <v>65</v>
      </c>
      <c r="Q904" t="s">
        <v>56</v>
      </c>
    </row>
    <row r="905" spans="1:17" x14ac:dyDescent="0.25">
      <c r="A905">
        <v>1004</v>
      </c>
      <c r="B905" t="s">
        <v>51</v>
      </c>
      <c r="C905" t="s">
        <v>27</v>
      </c>
      <c r="D905" t="s">
        <v>28</v>
      </c>
      <c r="E905" t="s">
        <v>48</v>
      </c>
      <c r="F905">
        <v>9</v>
      </c>
      <c r="G905">
        <v>32946</v>
      </c>
      <c r="H905" t="s">
        <v>615</v>
      </c>
      <c r="J905">
        <v>15</v>
      </c>
      <c r="K905" t="s">
        <v>58</v>
      </c>
      <c r="L905" t="s">
        <v>31</v>
      </c>
      <c r="M905" t="s">
        <v>64</v>
      </c>
      <c r="N905">
        <v>252036.9</v>
      </c>
      <c r="O905">
        <v>24255.55</v>
      </c>
      <c r="P905" t="s">
        <v>40</v>
      </c>
      <c r="Q905" t="s">
        <v>56</v>
      </c>
    </row>
    <row r="906" spans="1:17" x14ac:dyDescent="0.25">
      <c r="A906">
        <v>1005</v>
      </c>
      <c r="B906" t="s">
        <v>84</v>
      </c>
      <c r="C906" t="s">
        <v>35</v>
      </c>
      <c r="D906" t="s">
        <v>28</v>
      </c>
      <c r="E906" t="s">
        <v>29</v>
      </c>
      <c r="F906">
        <v>10</v>
      </c>
      <c r="G906">
        <v>77460</v>
      </c>
      <c r="H906" t="s">
        <v>616</v>
      </c>
      <c r="J906">
        <v>0</v>
      </c>
      <c r="K906" t="s">
        <v>21</v>
      </c>
      <c r="L906" t="s">
        <v>55</v>
      </c>
      <c r="M906" t="s">
        <v>50</v>
      </c>
      <c r="N906">
        <v>774600</v>
      </c>
      <c r="O906">
        <v>75499.490000000005</v>
      </c>
      <c r="P906" t="s">
        <v>24</v>
      </c>
      <c r="Q906" t="s">
        <v>75</v>
      </c>
    </row>
    <row r="907" spans="1:17" x14ac:dyDescent="0.25">
      <c r="A907">
        <v>1006</v>
      </c>
      <c r="B907" t="s">
        <v>96</v>
      </c>
      <c r="C907" t="s">
        <v>35</v>
      </c>
      <c r="D907" t="s">
        <v>76</v>
      </c>
      <c r="E907" t="s">
        <v>92</v>
      </c>
      <c r="F907">
        <v>5</v>
      </c>
      <c r="G907">
        <v>7008</v>
      </c>
      <c r="H907" t="s">
        <v>617</v>
      </c>
      <c r="J907">
        <v>0</v>
      </c>
      <c r="K907" t="s">
        <v>74</v>
      </c>
      <c r="L907" t="s">
        <v>31</v>
      </c>
      <c r="M907" t="s">
        <v>47</v>
      </c>
      <c r="N907">
        <v>35040</v>
      </c>
      <c r="O907">
        <v>8714.5</v>
      </c>
      <c r="P907" t="s">
        <v>33</v>
      </c>
      <c r="Q907" t="s">
        <v>56</v>
      </c>
    </row>
    <row r="908" spans="1:17" x14ac:dyDescent="0.25">
      <c r="A908">
        <v>1007</v>
      </c>
      <c r="B908" t="s">
        <v>41</v>
      </c>
      <c r="C908" t="s">
        <v>35</v>
      </c>
      <c r="D908" t="s">
        <v>18</v>
      </c>
      <c r="E908" t="s">
        <v>19</v>
      </c>
      <c r="F908">
        <v>5</v>
      </c>
      <c r="G908">
        <v>69830</v>
      </c>
      <c r="H908" t="s">
        <v>618</v>
      </c>
      <c r="J908">
        <v>15</v>
      </c>
      <c r="K908" t="s">
        <v>45</v>
      </c>
      <c r="L908" t="s">
        <v>55</v>
      </c>
      <c r="M908" t="s">
        <v>39</v>
      </c>
      <c r="N908">
        <v>296777.5</v>
      </c>
      <c r="O908">
        <v>84700.35</v>
      </c>
      <c r="P908" t="s">
        <v>33</v>
      </c>
      <c r="Q908" t="s">
        <v>56</v>
      </c>
    </row>
    <row r="909" spans="1:17" x14ac:dyDescent="0.25">
      <c r="A909">
        <v>1008</v>
      </c>
      <c r="B909" t="s">
        <v>91</v>
      </c>
      <c r="C909" t="s">
        <v>68</v>
      </c>
      <c r="D909" t="s">
        <v>28</v>
      </c>
      <c r="E909" t="s">
        <v>29</v>
      </c>
      <c r="F909">
        <v>9</v>
      </c>
      <c r="G909">
        <v>19065</v>
      </c>
      <c r="H909" t="s">
        <v>245</v>
      </c>
      <c r="J909">
        <v>5</v>
      </c>
      <c r="K909" t="s">
        <v>21</v>
      </c>
      <c r="L909" t="s">
        <v>31</v>
      </c>
      <c r="M909" t="s">
        <v>47</v>
      </c>
      <c r="N909">
        <v>163005.75</v>
      </c>
      <c r="O909">
        <v>35682.71</v>
      </c>
      <c r="P909" t="s">
        <v>65</v>
      </c>
      <c r="Q909" t="s">
        <v>56</v>
      </c>
    </row>
    <row r="910" spans="1:17" x14ac:dyDescent="0.25">
      <c r="A910">
        <v>1009</v>
      </c>
      <c r="B910" t="s">
        <v>51</v>
      </c>
      <c r="C910" t="s">
        <v>17</v>
      </c>
      <c r="D910" t="s">
        <v>76</v>
      </c>
      <c r="E910" t="s">
        <v>92</v>
      </c>
      <c r="F910">
        <v>1</v>
      </c>
      <c r="G910">
        <v>50403</v>
      </c>
      <c r="H910" t="s">
        <v>619</v>
      </c>
      <c r="J910">
        <v>15</v>
      </c>
      <c r="K910" t="s">
        <v>74</v>
      </c>
      <c r="L910" t="s">
        <v>55</v>
      </c>
      <c r="M910" t="s">
        <v>32</v>
      </c>
      <c r="N910">
        <v>42842.55</v>
      </c>
      <c r="O910">
        <v>4688.55</v>
      </c>
      <c r="P910" t="s">
        <v>65</v>
      </c>
      <c r="Q910" t="s">
        <v>56</v>
      </c>
    </row>
    <row r="911" spans="1:17" x14ac:dyDescent="0.25">
      <c r="A911">
        <v>1010</v>
      </c>
      <c r="B911" t="s">
        <v>84</v>
      </c>
      <c r="C911" t="s">
        <v>17</v>
      </c>
      <c r="D911" t="s">
        <v>42</v>
      </c>
      <c r="E911" t="s">
        <v>43</v>
      </c>
      <c r="F911">
        <v>5</v>
      </c>
      <c r="G911">
        <v>12797</v>
      </c>
      <c r="H911" t="s">
        <v>512</v>
      </c>
      <c r="J911">
        <v>20</v>
      </c>
      <c r="K911" t="s">
        <v>74</v>
      </c>
      <c r="L911" t="s">
        <v>22</v>
      </c>
      <c r="M911" t="s">
        <v>23</v>
      </c>
      <c r="N911">
        <v>51188</v>
      </c>
      <c r="O911">
        <v>15010.79</v>
      </c>
      <c r="P911" t="s">
        <v>24</v>
      </c>
      <c r="Q911" t="s">
        <v>25</v>
      </c>
    </row>
    <row r="912" spans="1:17" x14ac:dyDescent="0.25">
      <c r="A912">
        <v>1011</v>
      </c>
      <c r="B912" t="s">
        <v>91</v>
      </c>
      <c r="C912" t="s">
        <v>68</v>
      </c>
      <c r="D912" t="s">
        <v>42</v>
      </c>
      <c r="E912" t="s">
        <v>43</v>
      </c>
      <c r="F912">
        <v>1</v>
      </c>
      <c r="G912">
        <v>51363</v>
      </c>
      <c r="H912" t="s">
        <v>583</v>
      </c>
      <c r="J912">
        <v>5</v>
      </c>
      <c r="K912" t="s">
        <v>45</v>
      </c>
      <c r="L912" t="s">
        <v>55</v>
      </c>
      <c r="M912" t="s">
        <v>81</v>
      </c>
      <c r="N912">
        <v>48794.85</v>
      </c>
      <c r="O912">
        <v>12215.17</v>
      </c>
      <c r="P912" t="s">
        <v>24</v>
      </c>
      <c r="Q912" t="s">
        <v>25</v>
      </c>
    </row>
    <row r="913" spans="1:17" x14ac:dyDescent="0.25">
      <c r="A913">
        <v>1012</v>
      </c>
      <c r="B913" t="s">
        <v>94</v>
      </c>
      <c r="C913" t="s">
        <v>68</v>
      </c>
      <c r="D913" t="s">
        <v>69</v>
      </c>
      <c r="E913" t="s">
        <v>121</v>
      </c>
      <c r="F913">
        <v>6</v>
      </c>
      <c r="G913">
        <v>6056</v>
      </c>
      <c r="H913" t="s">
        <v>286</v>
      </c>
      <c r="J913">
        <v>15</v>
      </c>
      <c r="K913" t="s">
        <v>38</v>
      </c>
      <c r="L913" t="s">
        <v>22</v>
      </c>
      <c r="M913" t="s">
        <v>47</v>
      </c>
      <c r="N913">
        <v>30885.599999999999</v>
      </c>
      <c r="O913">
        <v>3187.37</v>
      </c>
      <c r="P913" t="s">
        <v>33</v>
      </c>
      <c r="Q913" t="s">
        <v>56</v>
      </c>
    </row>
    <row r="914" spans="1:17" x14ac:dyDescent="0.25">
      <c r="A914">
        <v>1013</v>
      </c>
      <c r="B914" t="s">
        <v>41</v>
      </c>
      <c r="C914" t="s">
        <v>68</v>
      </c>
      <c r="D914" t="s">
        <v>28</v>
      </c>
      <c r="E914" t="s">
        <v>29</v>
      </c>
      <c r="F914">
        <v>10</v>
      </c>
      <c r="G914">
        <v>23753</v>
      </c>
      <c r="H914" t="s">
        <v>380</v>
      </c>
      <c r="J914">
        <v>20</v>
      </c>
      <c r="K914" t="s">
        <v>45</v>
      </c>
      <c r="L914" t="s">
        <v>46</v>
      </c>
      <c r="M914" t="s">
        <v>32</v>
      </c>
      <c r="N914">
        <v>190024</v>
      </c>
      <c r="O914">
        <v>55261.9</v>
      </c>
      <c r="P914" t="s">
        <v>40</v>
      </c>
      <c r="Q914" t="s">
        <v>25</v>
      </c>
    </row>
    <row r="915" spans="1:17" x14ac:dyDescent="0.25">
      <c r="A915">
        <v>1014</v>
      </c>
      <c r="B915" t="s">
        <v>94</v>
      </c>
      <c r="C915" t="s">
        <v>27</v>
      </c>
      <c r="D915" t="s">
        <v>18</v>
      </c>
      <c r="E915" t="s">
        <v>62</v>
      </c>
      <c r="F915">
        <v>1</v>
      </c>
      <c r="G915">
        <v>48860</v>
      </c>
      <c r="H915" t="s">
        <v>426</v>
      </c>
      <c r="J915">
        <v>20</v>
      </c>
      <c r="K915" t="s">
        <v>54</v>
      </c>
      <c r="L915" t="s">
        <v>31</v>
      </c>
      <c r="M915" t="s">
        <v>47</v>
      </c>
      <c r="N915">
        <v>39088</v>
      </c>
      <c r="O915">
        <v>4989.2</v>
      </c>
      <c r="P915" t="s">
        <v>33</v>
      </c>
      <c r="Q915" t="s">
        <v>25</v>
      </c>
    </row>
    <row r="916" spans="1:17" x14ac:dyDescent="0.25">
      <c r="A916">
        <v>1015</v>
      </c>
      <c r="B916" t="s">
        <v>79</v>
      </c>
      <c r="C916" t="s">
        <v>17</v>
      </c>
      <c r="D916" t="s">
        <v>42</v>
      </c>
      <c r="E916" t="s">
        <v>43</v>
      </c>
      <c r="F916">
        <v>6</v>
      </c>
      <c r="G916">
        <v>44894</v>
      </c>
      <c r="H916" t="s">
        <v>158</v>
      </c>
      <c r="J916">
        <v>20</v>
      </c>
      <c r="K916" t="s">
        <v>45</v>
      </c>
      <c r="L916" t="s">
        <v>46</v>
      </c>
      <c r="M916" t="s">
        <v>47</v>
      </c>
      <c r="N916">
        <v>215491.20000000001</v>
      </c>
      <c r="O916">
        <v>19523.599999999999</v>
      </c>
      <c r="P916" t="s">
        <v>65</v>
      </c>
      <c r="Q916" t="s">
        <v>56</v>
      </c>
    </row>
    <row r="917" spans="1:17" x14ac:dyDescent="0.25">
      <c r="A917">
        <v>1016</v>
      </c>
      <c r="B917" t="s">
        <v>16</v>
      </c>
      <c r="C917" t="s">
        <v>68</v>
      </c>
      <c r="D917" t="s">
        <v>18</v>
      </c>
      <c r="E917" t="s">
        <v>72</v>
      </c>
      <c r="F917">
        <v>1</v>
      </c>
      <c r="G917">
        <v>45012</v>
      </c>
      <c r="H917" t="s">
        <v>326</v>
      </c>
      <c r="J917">
        <v>5</v>
      </c>
      <c r="K917" t="s">
        <v>45</v>
      </c>
      <c r="L917" t="s">
        <v>55</v>
      </c>
      <c r="M917" t="s">
        <v>39</v>
      </c>
      <c r="N917">
        <v>42761.4</v>
      </c>
      <c r="O917">
        <v>12223.74</v>
      </c>
      <c r="P917" t="s">
        <v>33</v>
      </c>
      <c r="Q917" t="s">
        <v>25</v>
      </c>
    </row>
    <row r="918" spans="1:17" x14ac:dyDescent="0.25">
      <c r="A918">
        <v>1017</v>
      </c>
      <c r="B918" t="s">
        <v>67</v>
      </c>
      <c r="C918" t="s">
        <v>68</v>
      </c>
      <c r="D918" t="s">
        <v>76</v>
      </c>
      <c r="E918" t="s">
        <v>77</v>
      </c>
      <c r="F918">
        <v>1</v>
      </c>
      <c r="G918">
        <v>9307</v>
      </c>
      <c r="H918" t="s">
        <v>545</v>
      </c>
      <c r="J918">
        <v>0</v>
      </c>
      <c r="K918" t="s">
        <v>74</v>
      </c>
      <c r="L918" t="s">
        <v>31</v>
      </c>
      <c r="M918" t="s">
        <v>47</v>
      </c>
      <c r="N918">
        <v>9307</v>
      </c>
      <c r="O918">
        <v>2751.95</v>
      </c>
      <c r="P918" t="s">
        <v>24</v>
      </c>
      <c r="Q918" t="s">
        <v>75</v>
      </c>
    </row>
    <row r="919" spans="1:17" x14ac:dyDescent="0.25">
      <c r="A919">
        <v>1018</v>
      </c>
      <c r="B919" t="s">
        <v>96</v>
      </c>
      <c r="C919" t="s">
        <v>35</v>
      </c>
      <c r="D919" t="s">
        <v>76</v>
      </c>
      <c r="E919" t="s">
        <v>101</v>
      </c>
      <c r="F919">
        <v>3</v>
      </c>
      <c r="G919">
        <v>72064</v>
      </c>
      <c r="H919" t="s">
        <v>547</v>
      </c>
      <c r="J919">
        <v>0</v>
      </c>
      <c r="K919" t="s">
        <v>21</v>
      </c>
      <c r="L919" t="s">
        <v>55</v>
      </c>
      <c r="M919" t="s">
        <v>64</v>
      </c>
      <c r="N919">
        <v>216192</v>
      </c>
      <c r="O919">
        <v>25239.27</v>
      </c>
      <c r="P919" t="s">
        <v>40</v>
      </c>
      <c r="Q919" t="s">
        <v>75</v>
      </c>
    </row>
    <row r="920" spans="1:17" x14ac:dyDescent="0.25">
      <c r="A920">
        <v>1019</v>
      </c>
      <c r="B920" t="s">
        <v>94</v>
      </c>
      <c r="C920" t="s">
        <v>68</v>
      </c>
      <c r="D920" t="s">
        <v>76</v>
      </c>
      <c r="E920" t="s">
        <v>101</v>
      </c>
      <c r="F920">
        <v>4</v>
      </c>
      <c r="G920">
        <v>24222</v>
      </c>
      <c r="H920" t="s">
        <v>423</v>
      </c>
      <c r="J920">
        <v>10</v>
      </c>
      <c r="K920" t="s">
        <v>54</v>
      </c>
      <c r="L920" t="s">
        <v>46</v>
      </c>
      <c r="M920" t="s">
        <v>39</v>
      </c>
      <c r="N920">
        <v>87199.2</v>
      </c>
      <c r="O920">
        <v>19188.23</v>
      </c>
      <c r="P920" t="s">
        <v>33</v>
      </c>
      <c r="Q920" t="s">
        <v>56</v>
      </c>
    </row>
    <row r="921" spans="1:17" x14ac:dyDescent="0.25">
      <c r="A921">
        <v>1020</v>
      </c>
      <c r="B921" t="s">
        <v>109</v>
      </c>
      <c r="C921" t="s">
        <v>68</v>
      </c>
      <c r="D921" t="s">
        <v>42</v>
      </c>
      <c r="E921" t="s">
        <v>59</v>
      </c>
      <c r="F921">
        <v>1</v>
      </c>
      <c r="G921">
        <v>31962</v>
      </c>
      <c r="H921" t="s">
        <v>620</v>
      </c>
      <c r="J921">
        <v>10</v>
      </c>
      <c r="K921" t="s">
        <v>58</v>
      </c>
      <c r="L921" t="s">
        <v>22</v>
      </c>
      <c r="M921" t="s">
        <v>81</v>
      </c>
      <c r="N921">
        <v>28765.8</v>
      </c>
      <c r="O921">
        <v>5892.2</v>
      </c>
      <c r="P921" t="s">
        <v>33</v>
      </c>
      <c r="Q921" t="s">
        <v>56</v>
      </c>
    </row>
    <row r="922" spans="1:17" x14ac:dyDescent="0.25">
      <c r="A922">
        <v>1021</v>
      </c>
      <c r="B922" t="s">
        <v>91</v>
      </c>
      <c r="C922" t="s">
        <v>27</v>
      </c>
      <c r="D922" t="s">
        <v>76</v>
      </c>
      <c r="E922" t="s">
        <v>92</v>
      </c>
      <c r="F922">
        <v>4</v>
      </c>
      <c r="G922">
        <v>6632</v>
      </c>
      <c r="H922" t="s">
        <v>206</v>
      </c>
      <c r="J922">
        <v>0</v>
      </c>
      <c r="K922" t="s">
        <v>74</v>
      </c>
      <c r="L922" t="s">
        <v>22</v>
      </c>
      <c r="M922" t="s">
        <v>47</v>
      </c>
      <c r="N922">
        <v>26528</v>
      </c>
      <c r="O922">
        <v>5802.05</v>
      </c>
      <c r="P922" t="s">
        <v>65</v>
      </c>
      <c r="Q922" t="s">
        <v>75</v>
      </c>
    </row>
    <row r="923" spans="1:17" x14ac:dyDescent="0.25">
      <c r="A923">
        <v>1022</v>
      </c>
      <c r="B923" t="s">
        <v>79</v>
      </c>
      <c r="C923" t="s">
        <v>17</v>
      </c>
      <c r="D923" t="s">
        <v>42</v>
      </c>
      <c r="E923" t="s">
        <v>43</v>
      </c>
      <c r="F923">
        <v>5</v>
      </c>
      <c r="G923">
        <v>39732</v>
      </c>
      <c r="H923" t="s">
        <v>621</v>
      </c>
      <c r="J923">
        <v>10</v>
      </c>
      <c r="K923" t="s">
        <v>58</v>
      </c>
      <c r="L923" t="s">
        <v>55</v>
      </c>
      <c r="M923" t="s">
        <v>100</v>
      </c>
      <c r="N923">
        <v>178794</v>
      </c>
      <c r="O923">
        <v>45924.67</v>
      </c>
      <c r="P923" t="s">
        <v>65</v>
      </c>
      <c r="Q923" t="s">
        <v>56</v>
      </c>
    </row>
    <row r="924" spans="1:17" x14ac:dyDescent="0.25">
      <c r="A924">
        <v>1023</v>
      </c>
      <c r="B924" t="s">
        <v>26</v>
      </c>
      <c r="C924" t="s">
        <v>17</v>
      </c>
      <c r="D924" t="s">
        <v>28</v>
      </c>
      <c r="E924" t="s">
        <v>48</v>
      </c>
      <c r="F924">
        <v>2</v>
      </c>
      <c r="G924">
        <v>19616</v>
      </c>
      <c r="H924" t="s">
        <v>542</v>
      </c>
      <c r="J924">
        <v>5</v>
      </c>
      <c r="K924" t="s">
        <v>58</v>
      </c>
      <c r="L924" t="s">
        <v>31</v>
      </c>
      <c r="M924" t="s">
        <v>47</v>
      </c>
      <c r="N924">
        <v>37270.400000000001</v>
      </c>
      <c r="O924">
        <v>8832.2900000000009</v>
      </c>
      <c r="P924" t="s">
        <v>65</v>
      </c>
      <c r="Q924" t="s">
        <v>75</v>
      </c>
    </row>
    <row r="925" spans="1:17" x14ac:dyDescent="0.25">
      <c r="A925">
        <v>1024</v>
      </c>
      <c r="B925" t="s">
        <v>79</v>
      </c>
      <c r="C925" t="s">
        <v>35</v>
      </c>
      <c r="D925" t="s">
        <v>42</v>
      </c>
      <c r="E925" t="s">
        <v>52</v>
      </c>
      <c r="F925">
        <v>8</v>
      </c>
      <c r="G925">
        <v>55281</v>
      </c>
      <c r="H925" t="s">
        <v>320</v>
      </c>
      <c r="J925">
        <v>10</v>
      </c>
      <c r="K925" t="s">
        <v>21</v>
      </c>
      <c r="L925" t="s">
        <v>46</v>
      </c>
      <c r="M925" t="s">
        <v>23</v>
      </c>
      <c r="N925">
        <v>398023.2</v>
      </c>
      <c r="O925">
        <v>111860.02</v>
      </c>
      <c r="P925" t="s">
        <v>65</v>
      </c>
      <c r="Q925" t="s">
        <v>25</v>
      </c>
    </row>
    <row r="926" spans="1:17" x14ac:dyDescent="0.25">
      <c r="A926">
        <v>1025</v>
      </c>
      <c r="B926" t="s">
        <v>109</v>
      </c>
      <c r="C926" t="s">
        <v>68</v>
      </c>
      <c r="D926" t="s">
        <v>76</v>
      </c>
      <c r="E926" t="s">
        <v>101</v>
      </c>
      <c r="F926">
        <v>9</v>
      </c>
      <c r="G926">
        <v>46610</v>
      </c>
      <c r="H926" t="s">
        <v>622</v>
      </c>
      <c r="J926">
        <v>0</v>
      </c>
      <c r="K926" t="s">
        <v>45</v>
      </c>
      <c r="L926" t="s">
        <v>31</v>
      </c>
      <c r="M926" t="s">
        <v>81</v>
      </c>
      <c r="N926">
        <v>419490</v>
      </c>
      <c r="O926">
        <v>97101.08</v>
      </c>
      <c r="P926" t="s">
        <v>40</v>
      </c>
      <c r="Q926" t="s">
        <v>25</v>
      </c>
    </row>
    <row r="927" spans="1:17" x14ac:dyDescent="0.25">
      <c r="A927">
        <v>1026</v>
      </c>
      <c r="B927" t="s">
        <v>107</v>
      </c>
      <c r="C927" t="s">
        <v>35</v>
      </c>
      <c r="D927" t="s">
        <v>42</v>
      </c>
      <c r="E927" t="s">
        <v>43</v>
      </c>
      <c r="F927">
        <v>2</v>
      </c>
      <c r="G927">
        <v>25428</v>
      </c>
      <c r="H927" t="s">
        <v>447</v>
      </c>
      <c r="J927">
        <v>10</v>
      </c>
      <c r="K927" t="s">
        <v>58</v>
      </c>
      <c r="L927" t="s">
        <v>55</v>
      </c>
      <c r="M927" t="s">
        <v>47</v>
      </c>
      <c r="N927">
        <v>45770.400000000001</v>
      </c>
      <c r="O927">
        <v>13055.37</v>
      </c>
      <c r="P927" t="s">
        <v>65</v>
      </c>
      <c r="Q927" t="s">
        <v>56</v>
      </c>
    </row>
    <row r="928" spans="1:17" x14ac:dyDescent="0.25">
      <c r="A928">
        <v>1027</v>
      </c>
      <c r="B928" t="s">
        <v>34</v>
      </c>
      <c r="C928" t="s">
        <v>27</v>
      </c>
      <c r="D928" t="s">
        <v>69</v>
      </c>
      <c r="E928" t="s">
        <v>98</v>
      </c>
      <c r="F928">
        <v>3</v>
      </c>
      <c r="G928">
        <v>37419</v>
      </c>
      <c r="H928" t="s">
        <v>187</v>
      </c>
      <c r="J928">
        <v>0</v>
      </c>
      <c r="K928" t="s">
        <v>58</v>
      </c>
      <c r="L928" t="s">
        <v>22</v>
      </c>
      <c r="M928" t="s">
        <v>81</v>
      </c>
      <c r="N928">
        <v>112257</v>
      </c>
      <c r="O928">
        <v>25406.13</v>
      </c>
      <c r="P928" t="s">
        <v>65</v>
      </c>
      <c r="Q928" t="s">
        <v>75</v>
      </c>
    </row>
    <row r="929" spans="1:17" x14ac:dyDescent="0.25">
      <c r="A929">
        <v>1028</v>
      </c>
      <c r="B929" t="s">
        <v>109</v>
      </c>
      <c r="C929" t="s">
        <v>17</v>
      </c>
      <c r="D929" t="s">
        <v>28</v>
      </c>
      <c r="E929" t="s">
        <v>29</v>
      </c>
      <c r="F929">
        <v>3</v>
      </c>
      <c r="G929">
        <v>19279</v>
      </c>
      <c r="H929" t="s">
        <v>93</v>
      </c>
      <c r="J929">
        <v>15</v>
      </c>
      <c r="K929" t="s">
        <v>58</v>
      </c>
      <c r="L929" t="s">
        <v>31</v>
      </c>
      <c r="M929" t="s">
        <v>64</v>
      </c>
      <c r="N929">
        <v>49161.45</v>
      </c>
      <c r="O929">
        <v>4133.51</v>
      </c>
      <c r="P929" t="s">
        <v>40</v>
      </c>
      <c r="Q929" t="s">
        <v>25</v>
      </c>
    </row>
    <row r="930" spans="1:17" x14ac:dyDescent="0.25">
      <c r="A930">
        <v>1029</v>
      </c>
      <c r="B930" t="s">
        <v>61</v>
      </c>
      <c r="C930" t="s">
        <v>68</v>
      </c>
      <c r="D930" t="s">
        <v>69</v>
      </c>
      <c r="E930" t="s">
        <v>98</v>
      </c>
      <c r="F930">
        <v>8</v>
      </c>
      <c r="G930">
        <v>52436</v>
      </c>
      <c r="H930" t="s">
        <v>373</v>
      </c>
      <c r="J930">
        <v>10</v>
      </c>
      <c r="K930" t="s">
        <v>58</v>
      </c>
      <c r="L930" t="s">
        <v>31</v>
      </c>
      <c r="M930" t="s">
        <v>32</v>
      </c>
      <c r="N930">
        <v>377539.2</v>
      </c>
      <c r="O930">
        <v>47244.12</v>
      </c>
      <c r="P930" t="s">
        <v>33</v>
      </c>
      <c r="Q930" t="s">
        <v>75</v>
      </c>
    </row>
    <row r="931" spans="1:17" x14ac:dyDescent="0.25">
      <c r="A931">
        <v>1030</v>
      </c>
      <c r="B931" t="s">
        <v>107</v>
      </c>
      <c r="C931" t="s">
        <v>68</v>
      </c>
      <c r="D931" t="s">
        <v>28</v>
      </c>
      <c r="E931" t="s">
        <v>103</v>
      </c>
      <c r="F931">
        <v>8</v>
      </c>
      <c r="G931">
        <v>66131</v>
      </c>
      <c r="H931" t="s">
        <v>408</v>
      </c>
      <c r="J931">
        <v>0</v>
      </c>
      <c r="K931" t="s">
        <v>54</v>
      </c>
      <c r="L931" t="s">
        <v>22</v>
      </c>
      <c r="M931" t="s">
        <v>39</v>
      </c>
      <c r="N931">
        <v>529048</v>
      </c>
      <c r="O931">
        <v>117691.46</v>
      </c>
      <c r="P931" t="s">
        <v>33</v>
      </c>
      <c r="Q931" t="s">
        <v>75</v>
      </c>
    </row>
    <row r="932" spans="1:17" x14ac:dyDescent="0.25">
      <c r="A932">
        <v>1031</v>
      </c>
      <c r="B932" t="s">
        <v>96</v>
      </c>
      <c r="C932" t="s">
        <v>27</v>
      </c>
      <c r="D932" t="s">
        <v>69</v>
      </c>
      <c r="E932" t="s">
        <v>98</v>
      </c>
      <c r="F932">
        <v>1</v>
      </c>
      <c r="G932">
        <v>54921</v>
      </c>
      <c r="H932" t="s">
        <v>320</v>
      </c>
      <c r="J932">
        <v>20</v>
      </c>
      <c r="K932" t="s">
        <v>21</v>
      </c>
      <c r="L932" t="s">
        <v>55</v>
      </c>
      <c r="M932" t="s">
        <v>100</v>
      </c>
      <c r="N932">
        <v>43936.800000000003</v>
      </c>
      <c r="O932">
        <v>4353.99</v>
      </c>
      <c r="P932" t="s">
        <v>33</v>
      </c>
      <c r="Q932" t="s">
        <v>56</v>
      </c>
    </row>
    <row r="933" spans="1:17" x14ac:dyDescent="0.25">
      <c r="A933">
        <v>1032</v>
      </c>
      <c r="B933" t="s">
        <v>107</v>
      </c>
      <c r="C933" t="s">
        <v>17</v>
      </c>
      <c r="D933" t="s">
        <v>42</v>
      </c>
      <c r="E933" t="s">
        <v>52</v>
      </c>
      <c r="F933">
        <v>2</v>
      </c>
      <c r="G933">
        <v>63370</v>
      </c>
      <c r="H933" t="s">
        <v>353</v>
      </c>
      <c r="J933">
        <v>10</v>
      </c>
      <c r="K933" t="s">
        <v>54</v>
      </c>
      <c r="L933" t="s">
        <v>55</v>
      </c>
      <c r="M933" t="s">
        <v>23</v>
      </c>
      <c r="N933">
        <v>114066</v>
      </c>
      <c r="O933">
        <v>22076.7</v>
      </c>
      <c r="P933" t="s">
        <v>65</v>
      </c>
      <c r="Q933" t="s">
        <v>75</v>
      </c>
    </row>
    <row r="934" spans="1:17" x14ac:dyDescent="0.25">
      <c r="A934">
        <v>1033</v>
      </c>
      <c r="B934" t="s">
        <v>107</v>
      </c>
      <c r="C934" t="s">
        <v>17</v>
      </c>
      <c r="D934" t="s">
        <v>42</v>
      </c>
      <c r="E934" t="s">
        <v>43</v>
      </c>
      <c r="F934">
        <v>7</v>
      </c>
      <c r="G934">
        <v>62105</v>
      </c>
      <c r="H934" t="s">
        <v>298</v>
      </c>
      <c r="J934">
        <v>5</v>
      </c>
      <c r="K934" t="s">
        <v>45</v>
      </c>
      <c r="L934" t="s">
        <v>22</v>
      </c>
      <c r="M934" t="s">
        <v>32</v>
      </c>
      <c r="N934">
        <v>412998.25</v>
      </c>
      <c r="O934">
        <v>44909.34</v>
      </c>
      <c r="P934" t="s">
        <v>24</v>
      </c>
      <c r="Q934" t="s">
        <v>25</v>
      </c>
    </row>
    <row r="935" spans="1:17" x14ac:dyDescent="0.25">
      <c r="A935">
        <v>1034</v>
      </c>
      <c r="B935" t="s">
        <v>109</v>
      </c>
      <c r="C935" t="s">
        <v>17</v>
      </c>
      <c r="D935" t="s">
        <v>69</v>
      </c>
      <c r="E935" t="s">
        <v>70</v>
      </c>
      <c r="F935">
        <v>9</v>
      </c>
      <c r="G935">
        <v>49512</v>
      </c>
      <c r="H935" t="s">
        <v>623</v>
      </c>
      <c r="J935">
        <v>20</v>
      </c>
      <c r="K935" t="s">
        <v>58</v>
      </c>
      <c r="L935" t="s">
        <v>22</v>
      </c>
      <c r="M935" t="s">
        <v>100</v>
      </c>
      <c r="N935">
        <v>356486.40000000002</v>
      </c>
      <c r="O935">
        <v>59909.88</v>
      </c>
      <c r="P935" t="s">
        <v>24</v>
      </c>
      <c r="Q935" t="s">
        <v>75</v>
      </c>
    </row>
    <row r="936" spans="1:17" x14ac:dyDescent="0.25">
      <c r="A936">
        <v>1035</v>
      </c>
      <c r="B936" t="s">
        <v>84</v>
      </c>
      <c r="C936" t="s">
        <v>68</v>
      </c>
      <c r="D936" t="s">
        <v>69</v>
      </c>
      <c r="E936" t="s">
        <v>98</v>
      </c>
      <c r="F936">
        <v>10</v>
      </c>
      <c r="G936">
        <v>74987</v>
      </c>
      <c r="H936" t="s">
        <v>607</v>
      </c>
      <c r="J936">
        <v>20</v>
      </c>
      <c r="K936" t="s">
        <v>38</v>
      </c>
      <c r="L936" t="s">
        <v>31</v>
      </c>
      <c r="M936" t="s">
        <v>50</v>
      </c>
      <c r="N936">
        <v>599896</v>
      </c>
      <c r="O936">
        <v>115877.64</v>
      </c>
      <c r="P936" t="s">
        <v>65</v>
      </c>
      <c r="Q936" t="s">
        <v>56</v>
      </c>
    </row>
    <row r="937" spans="1:17" x14ac:dyDescent="0.25">
      <c r="A937">
        <v>1036</v>
      </c>
      <c r="B937" t="s">
        <v>26</v>
      </c>
      <c r="C937" t="s">
        <v>17</v>
      </c>
      <c r="D937" t="s">
        <v>28</v>
      </c>
      <c r="E937" t="s">
        <v>103</v>
      </c>
      <c r="F937">
        <v>7</v>
      </c>
      <c r="G937">
        <v>8264</v>
      </c>
      <c r="H937" t="s">
        <v>152</v>
      </c>
      <c r="J937">
        <v>15</v>
      </c>
      <c r="K937" t="s">
        <v>21</v>
      </c>
      <c r="L937" t="s">
        <v>55</v>
      </c>
      <c r="M937" t="s">
        <v>47</v>
      </c>
      <c r="N937">
        <v>49170.8</v>
      </c>
      <c r="O937">
        <v>11997.65</v>
      </c>
      <c r="P937" t="s">
        <v>40</v>
      </c>
      <c r="Q937" t="s">
        <v>25</v>
      </c>
    </row>
    <row r="938" spans="1:17" x14ac:dyDescent="0.25">
      <c r="A938">
        <v>1037</v>
      </c>
      <c r="B938" t="s">
        <v>34</v>
      </c>
      <c r="C938" t="s">
        <v>17</v>
      </c>
      <c r="D938" t="s">
        <v>76</v>
      </c>
      <c r="E938" t="s">
        <v>77</v>
      </c>
      <c r="F938">
        <v>3</v>
      </c>
      <c r="G938">
        <v>55309</v>
      </c>
      <c r="H938" t="s">
        <v>624</v>
      </c>
      <c r="J938">
        <v>20</v>
      </c>
      <c r="K938" t="s">
        <v>58</v>
      </c>
      <c r="L938" t="s">
        <v>55</v>
      </c>
      <c r="M938" t="s">
        <v>50</v>
      </c>
      <c r="N938">
        <v>132741.6</v>
      </c>
      <c r="O938">
        <v>28199.08</v>
      </c>
      <c r="P938" t="s">
        <v>24</v>
      </c>
      <c r="Q938" t="s">
        <v>25</v>
      </c>
    </row>
    <row r="939" spans="1:17" x14ac:dyDescent="0.25">
      <c r="A939">
        <v>1038</v>
      </c>
      <c r="B939" t="s">
        <v>94</v>
      </c>
      <c r="C939" t="s">
        <v>35</v>
      </c>
      <c r="D939" t="s">
        <v>28</v>
      </c>
      <c r="E939" t="s">
        <v>103</v>
      </c>
      <c r="F939">
        <v>7</v>
      </c>
      <c r="G939">
        <v>56709</v>
      </c>
      <c r="H939" t="s">
        <v>246</v>
      </c>
      <c r="J939">
        <v>0</v>
      </c>
      <c r="K939" t="s">
        <v>74</v>
      </c>
      <c r="L939" t="s">
        <v>22</v>
      </c>
      <c r="M939" t="s">
        <v>100</v>
      </c>
      <c r="N939">
        <v>396963</v>
      </c>
      <c r="O939">
        <v>92475.33</v>
      </c>
      <c r="P939" t="s">
        <v>40</v>
      </c>
      <c r="Q939" t="s">
        <v>56</v>
      </c>
    </row>
    <row r="940" spans="1:17" x14ac:dyDescent="0.25">
      <c r="A940">
        <v>1039</v>
      </c>
      <c r="B940" t="s">
        <v>115</v>
      </c>
      <c r="C940" t="s">
        <v>27</v>
      </c>
      <c r="D940" t="s">
        <v>69</v>
      </c>
      <c r="E940" t="s">
        <v>98</v>
      </c>
      <c r="F940">
        <v>7</v>
      </c>
      <c r="G940">
        <v>60855</v>
      </c>
      <c r="H940" t="s">
        <v>433</v>
      </c>
      <c r="J940">
        <v>15</v>
      </c>
      <c r="K940" t="s">
        <v>58</v>
      </c>
      <c r="L940" t="s">
        <v>31</v>
      </c>
      <c r="M940" t="s">
        <v>23</v>
      </c>
      <c r="N940">
        <v>362087.25</v>
      </c>
      <c r="O940">
        <v>50220.71</v>
      </c>
      <c r="P940" t="s">
        <v>40</v>
      </c>
      <c r="Q940" t="s">
        <v>56</v>
      </c>
    </row>
    <row r="941" spans="1:17" x14ac:dyDescent="0.25">
      <c r="A941">
        <v>1040</v>
      </c>
      <c r="B941" t="s">
        <v>91</v>
      </c>
      <c r="C941" t="s">
        <v>27</v>
      </c>
      <c r="D941" t="s">
        <v>18</v>
      </c>
      <c r="E941" t="s">
        <v>19</v>
      </c>
      <c r="F941">
        <v>4</v>
      </c>
      <c r="G941">
        <v>47143</v>
      </c>
      <c r="H941" t="s">
        <v>625</v>
      </c>
      <c r="J941">
        <v>15</v>
      </c>
      <c r="K941" t="s">
        <v>38</v>
      </c>
      <c r="L941" t="s">
        <v>31</v>
      </c>
      <c r="M941" t="s">
        <v>81</v>
      </c>
      <c r="N941">
        <v>160286.20000000001</v>
      </c>
      <c r="O941">
        <v>32664.39</v>
      </c>
      <c r="P941" t="s">
        <v>40</v>
      </c>
      <c r="Q941" t="s">
        <v>25</v>
      </c>
    </row>
    <row r="942" spans="1:17" x14ac:dyDescent="0.25">
      <c r="A942">
        <v>1041</v>
      </c>
      <c r="B942" t="s">
        <v>79</v>
      </c>
      <c r="C942" t="s">
        <v>35</v>
      </c>
      <c r="D942" t="s">
        <v>28</v>
      </c>
      <c r="E942" t="s">
        <v>103</v>
      </c>
      <c r="F942">
        <v>4</v>
      </c>
      <c r="G942">
        <v>11570</v>
      </c>
      <c r="H942" t="s">
        <v>626</v>
      </c>
      <c r="J942">
        <v>20</v>
      </c>
      <c r="K942" t="s">
        <v>45</v>
      </c>
      <c r="L942" t="s">
        <v>46</v>
      </c>
      <c r="M942" t="s">
        <v>32</v>
      </c>
      <c r="N942">
        <v>37024</v>
      </c>
      <c r="O942">
        <v>3810.26</v>
      </c>
      <c r="P942" t="s">
        <v>24</v>
      </c>
      <c r="Q942" t="s">
        <v>25</v>
      </c>
    </row>
    <row r="943" spans="1:17" x14ac:dyDescent="0.25">
      <c r="A943">
        <v>1042</v>
      </c>
      <c r="B943" t="s">
        <v>34</v>
      </c>
      <c r="C943" t="s">
        <v>27</v>
      </c>
      <c r="D943" t="s">
        <v>42</v>
      </c>
      <c r="E943" t="s">
        <v>52</v>
      </c>
      <c r="F943">
        <v>10</v>
      </c>
      <c r="G943">
        <v>42871</v>
      </c>
      <c r="H943" t="s">
        <v>480</v>
      </c>
      <c r="J943">
        <v>0</v>
      </c>
      <c r="K943" t="s">
        <v>74</v>
      </c>
      <c r="L943" t="s">
        <v>46</v>
      </c>
      <c r="M943" t="s">
        <v>39</v>
      </c>
      <c r="N943">
        <v>428710</v>
      </c>
      <c r="O943">
        <v>121840.31</v>
      </c>
      <c r="P943" t="s">
        <v>33</v>
      </c>
      <c r="Q943" t="s">
        <v>56</v>
      </c>
    </row>
    <row r="944" spans="1:17" x14ac:dyDescent="0.25">
      <c r="A944">
        <v>1043</v>
      </c>
      <c r="B944" t="s">
        <v>61</v>
      </c>
      <c r="C944" t="s">
        <v>27</v>
      </c>
      <c r="D944" t="s">
        <v>76</v>
      </c>
      <c r="E944" t="s">
        <v>92</v>
      </c>
      <c r="F944">
        <v>1</v>
      </c>
      <c r="G944">
        <v>36405</v>
      </c>
      <c r="H944" t="s">
        <v>627</v>
      </c>
      <c r="J944">
        <v>20</v>
      </c>
      <c r="K944" t="s">
        <v>38</v>
      </c>
      <c r="L944" t="s">
        <v>46</v>
      </c>
      <c r="M944" t="s">
        <v>100</v>
      </c>
      <c r="N944">
        <v>29124</v>
      </c>
      <c r="O944">
        <v>8247.5499999999993</v>
      </c>
      <c r="P944" t="s">
        <v>65</v>
      </c>
      <c r="Q944" t="s">
        <v>75</v>
      </c>
    </row>
    <row r="945" spans="1:17" x14ac:dyDescent="0.25">
      <c r="A945">
        <v>1044</v>
      </c>
      <c r="B945" t="s">
        <v>41</v>
      </c>
      <c r="C945" t="s">
        <v>68</v>
      </c>
      <c r="D945" t="s">
        <v>28</v>
      </c>
      <c r="E945" t="s">
        <v>29</v>
      </c>
      <c r="F945">
        <v>5</v>
      </c>
      <c r="G945">
        <v>36050</v>
      </c>
      <c r="H945" t="s">
        <v>465</v>
      </c>
      <c r="J945">
        <v>15</v>
      </c>
      <c r="K945" t="s">
        <v>21</v>
      </c>
      <c r="L945" t="s">
        <v>22</v>
      </c>
      <c r="M945" t="s">
        <v>39</v>
      </c>
      <c r="N945">
        <v>153212.5</v>
      </c>
      <c r="O945">
        <v>26708.3</v>
      </c>
      <c r="P945" t="s">
        <v>24</v>
      </c>
      <c r="Q945" t="s">
        <v>25</v>
      </c>
    </row>
    <row r="946" spans="1:17" x14ac:dyDescent="0.25">
      <c r="A946">
        <v>1045</v>
      </c>
      <c r="B946" t="s">
        <v>41</v>
      </c>
      <c r="C946" t="s">
        <v>68</v>
      </c>
      <c r="D946" t="s">
        <v>18</v>
      </c>
      <c r="E946" t="s">
        <v>19</v>
      </c>
      <c r="F946">
        <v>1</v>
      </c>
      <c r="G946">
        <v>42692</v>
      </c>
      <c r="H946" t="s">
        <v>476</v>
      </c>
      <c r="J946">
        <v>5</v>
      </c>
      <c r="K946" t="s">
        <v>38</v>
      </c>
      <c r="L946" t="s">
        <v>31</v>
      </c>
      <c r="M946" t="s">
        <v>23</v>
      </c>
      <c r="N946">
        <v>40557.4</v>
      </c>
      <c r="O946">
        <v>6267.59</v>
      </c>
      <c r="P946" t="s">
        <v>65</v>
      </c>
      <c r="Q946" t="s">
        <v>25</v>
      </c>
    </row>
    <row r="947" spans="1:17" x14ac:dyDescent="0.25">
      <c r="A947">
        <v>1046</v>
      </c>
      <c r="B947" t="s">
        <v>61</v>
      </c>
      <c r="C947" t="s">
        <v>27</v>
      </c>
      <c r="D947" t="s">
        <v>42</v>
      </c>
      <c r="E947" t="s">
        <v>52</v>
      </c>
      <c r="F947">
        <v>7</v>
      </c>
      <c r="G947">
        <v>60077</v>
      </c>
      <c r="H947" t="s">
        <v>165</v>
      </c>
      <c r="J947">
        <v>0</v>
      </c>
      <c r="K947" t="s">
        <v>45</v>
      </c>
      <c r="L947" t="s">
        <v>55</v>
      </c>
      <c r="M947" t="s">
        <v>100</v>
      </c>
      <c r="N947">
        <v>420539</v>
      </c>
      <c r="O947">
        <v>118507.82</v>
      </c>
      <c r="P947" t="s">
        <v>24</v>
      </c>
      <c r="Q947" t="s">
        <v>25</v>
      </c>
    </row>
    <row r="948" spans="1:17" x14ac:dyDescent="0.25">
      <c r="A948">
        <v>1047</v>
      </c>
      <c r="B948" t="s">
        <v>67</v>
      </c>
      <c r="C948" t="s">
        <v>35</v>
      </c>
      <c r="D948" t="s">
        <v>42</v>
      </c>
      <c r="E948" t="s">
        <v>59</v>
      </c>
      <c r="F948">
        <v>3</v>
      </c>
      <c r="G948">
        <v>42309</v>
      </c>
      <c r="H948" t="s">
        <v>626</v>
      </c>
      <c r="J948">
        <v>5</v>
      </c>
      <c r="K948" t="s">
        <v>45</v>
      </c>
      <c r="L948" t="s">
        <v>31</v>
      </c>
      <c r="M948" t="s">
        <v>23</v>
      </c>
      <c r="N948">
        <v>120580.65</v>
      </c>
      <c r="O948">
        <v>22956.14</v>
      </c>
      <c r="P948" t="s">
        <v>24</v>
      </c>
      <c r="Q948" t="s">
        <v>56</v>
      </c>
    </row>
    <row r="949" spans="1:17" x14ac:dyDescent="0.25">
      <c r="A949">
        <v>1048</v>
      </c>
      <c r="B949" t="s">
        <v>34</v>
      </c>
      <c r="C949" t="s">
        <v>17</v>
      </c>
      <c r="D949" t="s">
        <v>69</v>
      </c>
      <c r="E949" t="s">
        <v>70</v>
      </c>
      <c r="F949">
        <v>9</v>
      </c>
      <c r="G949">
        <v>7060</v>
      </c>
      <c r="H949" t="s">
        <v>361</v>
      </c>
      <c r="J949">
        <v>10</v>
      </c>
      <c r="K949" t="s">
        <v>45</v>
      </c>
      <c r="L949" t="s">
        <v>31</v>
      </c>
      <c r="M949" t="s">
        <v>47</v>
      </c>
      <c r="N949">
        <v>57186</v>
      </c>
      <c r="O949">
        <v>17015.09</v>
      </c>
      <c r="P949" t="s">
        <v>40</v>
      </c>
      <c r="Q949" t="s">
        <v>75</v>
      </c>
    </row>
    <row r="950" spans="1:17" x14ac:dyDescent="0.25">
      <c r="A950">
        <v>1049</v>
      </c>
      <c r="B950" t="s">
        <v>91</v>
      </c>
      <c r="C950" t="s">
        <v>68</v>
      </c>
      <c r="D950" t="s">
        <v>76</v>
      </c>
      <c r="E950" t="s">
        <v>92</v>
      </c>
      <c r="F950">
        <v>10</v>
      </c>
      <c r="G950">
        <v>35233</v>
      </c>
      <c r="H950" t="s">
        <v>571</v>
      </c>
      <c r="J950">
        <v>15</v>
      </c>
      <c r="K950" t="s">
        <v>58</v>
      </c>
      <c r="L950" t="s">
        <v>46</v>
      </c>
      <c r="M950" t="s">
        <v>47</v>
      </c>
      <c r="N950">
        <v>299480.5</v>
      </c>
      <c r="O950">
        <v>80194.759999999995</v>
      </c>
      <c r="P950" t="s">
        <v>24</v>
      </c>
      <c r="Q950" t="s">
        <v>25</v>
      </c>
    </row>
    <row r="951" spans="1:17" x14ac:dyDescent="0.25">
      <c r="A951">
        <v>1050</v>
      </c>
      <c r="B951" t="s">
        <v>61</v>
      </c>
      <c r="C951" t="s">
        <v>35</v>
      </c>
      <c r="D951" t="s">
        <v>42</v>
      </c>
      <c r="E951" t="s">
        <v>52</v>
      </c>
      <c r="F951">
        <v>1</v>
      </c>
      <c r="G951">
        <v>38743</v>
      </c>
      <c r="H951" t="s">
        <v>203</v>
      </c>
      <c r="J951">
        <v>10</v>
      </c>
      <c r="K951" t="s">
        <v>54</v>
      </c>
      <c r="L951" t="s">
        <v>22</v>
      </c>
      <c r="M951" t="s">
        <v>39</v>
      </c>
      <c r="N951">
        <v>34868.699999999997</v>
      </c>
      <c r="O951">
        <v>7009.12</v>
      </c>
      <c r="P951" t="s">
        <v>24</v>
      </c>
      <c r="Q951" t="s">
        <v>25</v>
      </c>
    </row>
    <row r="952" spans="1:17" x14ac:dyDescent="0.25">
      <c r="A952">
        <v>1051</v>
      </c>
      <c r="B952" t="s">
        <v>51</v>
      </c>
      <c r="C952" t="s">
        <v>68</v>
      </c>
      <c r="D952" t="s">
        <v>69</v>
      </c>
      <c r="E952" t="s">
        <v>70</v>
      </c>
      <c r="F952">
        <v>8</v>
      </c>
      <c r="G952">
        <v>77775</v>
      </c>
      <c r="H952" t="s">
        <v>518</v>
      </c>
      <c r="J952">
        <v>15</v>
      </c>
      <c r="K952" t="s">
        <v>38</v>
      </c>
      <c r="L952" t="s">
        <v>46</v>
      </c>
      <c r="M952" t="s">
        <v>64</v>
      </c>
      <c r="N952">
        <v>528870</v>
      </c>
      <c r="O952">
        <v>65114.87</v>
      </c>
      <c r="P952" t="s">
        <v>24</v>
      </c>
      <c r="Q952" t="s">
        <v>75</v>
      </c>
    </row>
    <row r="953" spans="1:17" x14ac:dyDescent="0.25">
      <c r="A953">
        <v>1052</v>
      </c>
      <c r="B953" t="s">
        <v>109</v>
      </c>
      <c r="C953" t="s">
        <v>27</v>
      </c>
      <c r="D953" t="s">
        <v>42</v>
      </c>
      <c r="E953" t="s">
        <v>52</v>
      </c>
      <c r="F953">
        <v>3</v>
      </c>
      <c r="G953">
        <v>24885</v>
      </c>
      <c r="H953" t="s">
        <v>305</v>
      </c>
      <c r="J953">
        <v>5</v>
      </c>
      <c r="K953" t="s">
        <v>54</v>
      </c>
      <c r="L953" t="s">
        <v>55</v>
      </c>
      <c r="M953" t="s">
        <v>32</v>
      </c>
      <c r="N953">
        <v>70922.25</v>
      </c>
      <c r="O953">
        <v>14924.18</v>
      </c>
      <c r="P953" t="s">
        <v>33</v>
      </c>
      <c r="Q953" t="s">
        <v>75</v>
      </c>
    </row>
    <row r="954" spans="1:17" x14ac:dyDescent="0.25">
      <c r="A954">
        <v>1053</v>
      </c>
      <c r="B954" t="s">
        <v>51</v>
      </c>
      <c r="C954" t="s">
        <v>68</v>
      </c>
      <c r="D954" t="s">
        <v>28</v>
      </c>
      <c r="E954" t="s">
        <v>48</v>
      </c>
      <c r="F954">
        <v>9</v>
      </c>
      <c r="G954">
        <v>23603</v>
      </c>
      <c r="H954" t="s">
        <v>476</v>
      </c>
      <c r="J954">
        <v>5</v>
      </c>
      <c r="K954" t="s">
        <v>74</v>
      </c>
      <c r="L954" t="s">
        <v>46</v>
      </c>
      <c r="M954" t="s">
        <v>81</v>
      </c>
      <c r="N954">
        <v>201805.65</v>
      </c>
      <c r="O954">
        <v>17529.11</v>
      </c>
      <c r="P954" t="s">
        <v>65</v>
      </c>
      <c r="Q954" t="s">
        <v>56</v>
      </c>
    </row>
    <row r="955" spans="1:17" x14ac:dyDescent="0.25">
      <c r="A955">
        <v>1054</v>
      </c>
      <c r="B955" t="s">
        <v>41</v>
      </c>
      <c r="C955" t="s">
        <v>35</v>
      </c>
      <c r="D955" t="s">
        <v>42</v>
      </c>
      <c r="E955" t="s">
        <v>52</v>
      </c>
      <c r="F955">
        <v>2</v>
      </c>
      <c r="G955">
        <v>60707</v>
      </c>
      <c r="H955" t="s">
        <v>628</v>
      </c>
      <c r="J955">
        <v>10</v>
      </c>
      <c r="K955" t="s">
        <v>45</v>
      </c>
      <c r="L955" t="s">
        <v>31</v>
      </c>
      <c r="M955" t="s">
        <v>100</v>
      </c>
      <c r="N955">
        <v>109272.6</v>
      </c>
      <c r="O955">
        <v>32178.36</v>
      </c>
      <c r="P955" t="s">
        <v>24</v>
      </c>
      <c r="Q955" t="s">
        <v>56</v>
      </c>
    </row>
    <row r="956" spans="1:17" x14ac:dyDescent="0.25">
      <c r="A956">
        <v>1055</v>
      </c>
      <c r="B956" t="s">
        <v>61</v>
      </c>
      <c r="C956" t="s">
        <v>17</v>
      </c>
      <c r="D956" t="s">
        <v>69</v>
      </c>
      <c r="E956" t="s">
        <v>121</v>
      </c>
      <c r="F956">
        <v>10</v>
      </c>
      <c r="G956">
        <v>61626</v>
      </c>
      <c r="H956" t="s">
        <v>629</v>
      </c>
      <c r="J956">
        <v>10</v>
      </c>
      <c r="K956" t="s">
        <v>21</v>
      </c>
      <c r="L956" t="s">
        <v>46</v>
      </c>
      <c r="M956" t="s">
        <v>23</v>
      </c>
      <c r="N956">
        <v>554634</v>
      </c>
      <c r="O956">
        <v>62439.44</v>
      </c>
      <c r="P956" t="s">
        <v>65</v>
      </c>
      <c r="Q956" t="s">
        <v>25</v>
      </c>
    </row>
    <row r="957" spans="1:17" x14ac:dyDescent="0.25">
      <c r="A957">
        <v>1056</v>
      </c>
      <c r="B957" t="s">
        <v>96</v>
      </c>
      <c r="C957" t="s">
        <v>68</v>
      </c>
      <c r="D957" t="s">
        <v>42</v>
      </c>
      <c r="E957" t="s">
        <v>52</v>
      </c>
      <c r="F957">
        <v>10</v>
      </c>
      <c r="G957">
        <v>70842</v>
      </c>
      <c r="H957" t="s">
        <v>199</v>
      </c>
      <c r="J957">
        <v>10</v>
      </c>
      <c r="K957" t="s">
        <v>58</v>
      </c>
      <c r="L957" t="s">
        <v>55</v>
      </c>
      <c r="M957" t="s">
        <v>39</v>
      </c>
      <c r="N957">
        <v>637578</v>
      </c>
      <c r="O957">
        <v>67006.679999999993</v>
      </c>
      <c r="P957" t="s">
        <v>65</v>
      </c>
      <c r="Q957" t="s">
        <v>25</v>
      </c>
    </row>
    <row r="958" spans="1:17" x14ac:dyDescent="0.25">
      <c r="A958">
        <v>1057</v>
      </c>
      <c r="B958" t="s">
        <v>61</v>
      </c>
      <c r="C958" t="s">
        <v>35</v>
      </c>
      <c r="D958" t="s">
        <v>28</v>
      </c>
      <c r="E958" t="s">
        <v>48</v>
      </c>
      <c r="F958">
        <v>2</v>
      </c>
      <c r="G958">
        <v>59878</v>
      </c>
      <c r="H958" t="s">
        <v>582</v>
      </c>
      <c r="J958">
        <v>15</v>
      </c>
      <c r="K958" t="s">
        <v>45</v>
      </c>
      <c r="L958" t="s">
        <v>31</v>
      </c>
      <c r="M958" t="s">
        <v>81</v>
      </c>
      <c r="N958">
        <v>101792.6</v>
      </c>
      <c r="O958">
        <v>28879.52</v>
      </c>
      <c r="P958" t="s">
        <v>33</v>
      </c>
      <c r="Q958" t="s">
        <v>25</v>
      </c>
    </row>
    <row r="959" spans="1:17" x14ac:dyDescent="0.25">
      <c r="A959">
        <v>1058</v>
      </c>
      <c r="B959" t="s">
        <v>84</v>
      </c>
      <c r="C959" t="s">
        <v>68</v>
      </c>
      <c r="D959" t="s">
        <v>28</v>
      </c>
      <c r="E959" t="s">
        <v>48</v>
      </c>
      <c r="F959">
        <v>6</v>
      </c>
      <c r="G959">
        <v>62148</v>
      </c>
      <c r="H959" t="s">
        <v>129</v>
      </c>
      <c r="J959">
        <v>10</v>
      </c>
      <c r="K959" t="s">
        <v>38</v>
      </c>
      <c r="L959" t="s">
        <v>31</v>
      </c>
      <c r="M959" t="s">
        <v>64</v>
      </c>
      <c r="N959">
        <v>335599.2</v>
      </c>
      <c r="O959">
        <v>31155.38</v>
      </c>
      <c r="P959" t="s">
        <v>24</v>
      </c>
      <c r="Q959" t="s">
        <v>56</v>
      </c>
    </row>
    <row r="960" spans="1:17" x14ac:dyDescent="0.25">
      <c r="A960">
        <v>1059</v>
      </c>
      <c r="B960" t="s">
        <v>67</v>
      </c>
      <c r="C960" t="s">
        <v>68</v>
      </c>
      <c r="D960" t="s">
        <v>69</v>
      </c>
      <c r="E960" t="s">
        <v>121</v>
      </c>
      <c r="F960">
        <v>4</v>
      </c>
      <c r="G960">
        <v>51921</v>
      </c>
      <c r="H960" t="s">
        <v>168</v>
      </c>
      <c r="J960">
        <v>0</v>
      </c>
      <c r="K960" t="s">
        <v>74</v>
      </c>
      <c r="L960" t="s">
        <v>22</v>
      </c>
      <c r="M960" t="s">
        <v>50</v>
      </c>
      <c r="N960">
        <v>207684</v>
      </c>
      <c r="O960">
        <v>41302.230000000003</v>
      </c>
      <c r="P960" t="s">
        <v>65</v>
      </c>
      <c r="Q960" t="s">
        <v>25</v>
      </c>
    </row>
    <row r="961" spans="1:17" x14ac:dyDescent="0.25">
      <c r="A961">
        <v>1060</v>
      </c>
      <c r="B961" t="s">
        <v>16</v>
      </c>
      <c r="C961" t="s">
        <v>27</v>
      </c>
      <c r="D961" t="s">
        <v>69</v>
      </c>
      <c r="E961" t="s">
        <v>121</v>
      </c>
      <c r="F961">
        <v>9</v>
      </c>
      <c r="G961">
        <v>12565</v>
      </c>
      <c r="H961" t="s">
        <v>317</v>
      </c>
      <c r="J961">
        <v>0</v>
      </c>
      <c r="K961" t="s">
        <v>74</v>
      </c>
      <c r="L961" t="s">
        <v>46</v>
      </c>
      <c r="M961" t="s">
        <v>50</v>
      </c>
      <c r="N961">
        <v>113085</v>
      </c>
      <c r="O961">
        <v>17503.84</v>
      </c>
      <c r="P961" t="s">
        <v>65</v>
      </c>
      <c r="Q961" t="s">
        <v>25</v>
      </c>
    </row>
    <row r="962" spans="1:17" x14ac:dyDescent="0.25">
      <c r="A962">
        <v>1061</v>
      </c>
      <c r="B962" t="s">
        <v>34</v>
      </c>
      <c r="C962" t="s">
        <v>27</v>
      </c>
      <c r="D962" t="s">
        <v>18</v>
      </c>
      <c r="E962" t="s">
        <v>62</v>
      </c>
      <c r="F962">
        <v>8</v>
      </c>
      <c r="G962">
        <v>68706</v>
      </c>
      <c r="H962" t="s">
        <v>630</v>
      </c>
      <c r="J962">
        <v>5</v>
      </c>
      <c r="K962" t="s">
        <v>54</v>
      </c>
      <c r="L962" t="s">
        <v>22</v>
      </c>
      <c r="M962" t="s">
        <v>39</v>
      </c>
      <c r="N962">
        <v>522165.6</v>
      </c>
      <c r="O962">
        <v>93345.09</v>
      </c>
      <c r="P962" t="s">
        <v>40</v>
      </c>
      <c r="Q962" t="s">
        <v>56</v>
      </c>
    </row>
    <row r="963" spans="1:17" x14ac:dyDescent="0.25">
      <c r="A963">
        <v>1062</v>
      </c>
      <c r="B963" t="s">
        <v>115</v>
      </c>
      <c r="C963" t="s">
        <v>17</v>
      </c>
      <c r="D963" t="s">
        <v>69</v>
      </c>
      <c r="E963" t="s">
        <v>121</v>
      </c>
      <c r="F963">
        <v>4</v>
      </c>
      <c r="G963">
        <v>4510</v>
      </c>
      <c r="H963" t="s">
        <v>141</v>
      </c>
      <c r="J963">
        <v>20</v>
      </c>
      <c r="K963" t="s">
        <v>58</v>
      </c>
      <c r="L963" t="s">
        <v>22</v>
      </c>
      <c r="M963" t="s">
        <v>47</v>
      </c>
      <c r="N963">
        <v>14432</v>
      </c>
      <c r="O963">
        <v>3549.7</v>
      </c>
      <c r="P963" t="s">
        <v>40</v>
      </c>
      <c r="Q963" t="s">
        <v>25</v>
      </c>
    </row>
    <row r="964" spans="1:17" x14ac:dyDescent="0.25">
      <c r="A964">
        <v>1063</v>
      </c>
      <c r="B964" t="s">
        <v>94</v>
      </c>
      <c r="C964" t="s">
        <v>68</v>
      </c>
      <c r="D964" t="s">
        <v>69</v>
      </c>
      <c r="E964" t="s">
        <v>98</v>
      </c>
      <c r="F964">
        <v>1</v>
      </c>
      <c r="G964">
        <v>3781</v>
      </c>
      <c r="H964" t="s">
        <v>516</v>
      </c>
      <c r="J964">
        <v>5</v>
      </c>
      <c r="K964" t="s">
        <v>58</v>
      </c>
      <c r="L964" t="s">
        <v>22</v>
      </c>
      <c r="M964" t="s">
        <v>100</v>
      </c>
      <c r="N964">
        <v>3591.95</v>
      </c>
      <c r="O964">
        <v>360.92</v>
      </c>
      <c r="P964" t="s">
        <v>65</v>
      </c>
      <c r="Q964" t="s">
        <v>75</v>
      </c>
    </row>
    <row r="965" spans="1:17" x14ac:dyDescent="0.25">
      <c r="A965">
        <v>1064</v>
      </c>
      <c r="B965" t="s">
        <v>34</v>
      </c>
      <c r="C965" t="s">
        <v>35</v>
      </c>
      <c r="D965" t="s">
        <v>76</v>
      </c>
      <c r="E965" t="s">
        <v>92</v>
      </c>
      <c r="F965">
        <v>10</v>
      </c>
      <c r="G965">
        <v>15295</v>
      </c>
      <c r="H965" t="s">
        <v>631</v>
      </c>
      <c r="J965">
        <v>20</v>
      </c>
      <c r="K965" t="s">
        <v>58</v>
      </c>
      <c r="L965" t="s">
        <v>31</v>
      </c>
      <c r="M965" t="s">
        <v>100</v>
      </c>
      <c r="N965">
        <v>122360</v>
      </c>
      <c r="O965">
        <v>11255.62</v>
      </c>
      <c r="P965" t="s">
        <v>65</v>
      </c>
      <c r="Q965" t="s">
        <v>75</v>
      </c>
    </row>
    <row r="966" spans="1:17" x14ac:dyDescent="0.25">
      <c r="A966">
        <v>1065</v>
      </c>
      <c r="B966" t="s">
        <v>79</v>
      </c>
      <c r="C966" t="s">
        <v>68</v>
      </c>
      <c r="D966" t="s">
        <v>28</v>
      </c>
      <c r="E966" t="s">
        <v>29</v>
      </c>
      <c r="F966">
        <v>4</v>
      </c>
      <c r="G966">
        <v>18785</v>
      </c>
      <c r="H966" t="s">
        <v>537</v>
      </c>
      <c r="J966">
        <v>10</v>
      </c>
      <c r="K966" t="s">
        <v>74</v>
      </c>
      <c r="L966" t="s">
        <v>31</v>
      </c>
      <c r="M966" t="s">
        <v>47</v>
      </c>
      <c r="N966">
        <v>67626</v>
      </c>
      <c r="O966">
        <v>15251.42</v>
      </c>
      <c r="P966" t="s">
        <v>33</v>
      </c>
      <c r="Q966" t="s">
        <v>25</v>
      </c>
    </row>
    <row r="967" spans="1:17" x14ac:dyDescent="0.25">
      <c r="A967">
        <v>1066</v>
      </c>
      <c r="B967" t="s">
        <v>67</v>
      </c>
      <c r="C967" t="s">
        <v>35</v>
      </c>
      <c r="D967" t="s">
        <v>69</v>
      </c>
      <c r="E967" t="s">
        <v>121</v>
      </c>
      <c r="F967">
        <v>1</v>
      </c>
      <c r="G967">
        <v>77211</v>
      </c>
      <c r="H967" t="s">
        <v>632</v>
      </c>
      <c r="J967">
        <v>5</v>
      </c>
      <c r="K967" t="s">
        <v>45</v>
      </c>
      <c r="L967" t="s">
        <v>46</v>
      </c>
      <c r="M967" t="s">
        <v>81</v>
      </c>
      <c r="N967">
        <v>73350.45</v>
      </c>
      <c r="O967">
        <v>9092.42</v>
      </c>
      <c r="P967" t="s">
        <v>33</v>
      </c>
      <c r="Q967" t="s">
        <v>25</v>
      </c>
    </row>
    <row r="968" spans="1:17" x14ac:dyDescent="0.25">
      <c r="A968">
        <v>1067</v>
      </c>
      <c r="B968" t="s">
        <v>61</v>
      </c>
      <c r="C968" t="s">
        <v>68</v>
      </c>
      <c r="D968" t="s">
        <v>76</v>
      </c>
      <c r="E968" t="s">
        <v>101</v>
      </c>
      <c r="F968">
        <v>6</v>
      </c>
      <c r="G968">
        <v>24624</v>
      </c>
      <c r="H968" t="s">
        <v>369</v>
      </c>
      <c r="J968">
        <v>5</v>
      </c>
      <c r="K968" t="s">
        <v>38</v>
      </c>
      <c r="L968" t="s">
        <v>46</v>
      </c>
      <c r="M968" t="s">
        <v>81</v>
      </c>
      <c r="N968">
        <v>140356.79999999999</v>
      </c>
      <c r="O968">
        <v>22862.87</v>
      </c>
      <c r="P968" t="s">
        <v>33</v>
      </c>
      <c r="Q968" t="s">
        <v>56</v>
      </c>
    </row>
    <row r="969" spans="1:17" x14ac:dyDescent="0.25">
      <c r="A969">
        <v>1068</v>
      </c>
      <c r="B969" t="s">
        <v>79</v>
      </c>
      <c r="C969" t="s">
        <v>68</v>
      </c>
      <c r="D969" t="s">
        <v>69</v>
      </c>
      <c r="E969" t="s">
        <v>121</v>
      </c>
      <c r="F969">
        <v>6</v>
      </c>
      <c r="G969">
        <v>32327</v>
      </c>
      <c r="H969" t="s">
        <v>379</v>
      </c>
      <c r="J969">
        <v>5</v>
      </c>
      <c r="K969" t="s">
        <v>74</v>
      </c>
      <c r="L969" t="s">
        <v>22</v>
      </c>
      <c r="M969" t="s">
        <v>81</v>
      </c>
      <c r="N969">
        <v>184263.9</v>
      </c>
      <c r="O969">
        <v>43600.78</v>
      </c>
      <c r="P969" t="s">
        <v>65</v>
      </c>
      <c r="Q969" t="s">
        <v>56</v>
      </c>
    </row>
    <row r="970" spans="1:17" x14ac:dyDescent="0.25">
      <c r="A970">
        <v>1069</v>
      </c>
      <c r="B970" t="s">
        <v>26</v>
      </c>
      <c r="C970" t="s">
        <v>68</v>
      </c>
      <c r="D970" t="s">
        <v>76</v>
      </c>
      <c r="E970" t="s">
        <v>101</v>
      </c>
      <c r="F970">
        <v>9</v>
      </c>
      <c r="G970">
        <v>58739</v>
      </c>
      <c r="H970" t="s">
        <v>633</v>
      </c>
      <c r="J970">
        <v>0</v>
      </c>
      <c r="K970" t="s">
        <v>45</v>
      </c>
      <c r="L970" t="s">
        <v>22</v>
      </c>
      <c r="M970" t="s">
        <v>47</v>
      </c>
      <c r="N970">
        <v>528651</v>
      </c>
      <c r="O970">
        <v>96440.51</v>
      </c>
      <c r="P970" t="s">
        <v>65</v>
      </c>
      <c r="Q970" t="s">
        <v>25</v>
      </c>
    </row>
    <row r="971" spans="1:17" x14ac:dyDescent="0.25">
      <c r="A971">
        <v>1070</v>
      </c>
      <c r="B971" t="s">
        <v>94</v>
      </c>
      <c r="C971" t="s">
        <v>68</v>
      </c>
      <c r="D971" t="s">
        <v>28</v>
      </c>
      <c r="E971" t="s">
        <v>103</v>
      </c>
      <c r="F971">
        <v>10</v>
      </c>
      <c r="G971">
        <v>19188</v>
      </c>
      <c r="H971" t="s">
        <v>634</v>
      </c>
      <c r="J971">
        <v>20</v>
      </c>
      <c r="K971" t="s">
        <v>45</v>
      </c>
      <c r="L971" t="s">
        <v>22</v>
      </c>
      <c r="M971" t="s">
        <v>32</v>
      </c>
      <c r="N971">
        <v>153504</v>
      </c>
      <c r="O971">
        <v>44834.21</v>
      </c>
      <c r="P971" t="s">
        <v>33</v>
      </c>
      <c r="Q971" t="s">
        <v>25</v>
      </c>
    </row>
    <row r="972" spans="1:17" x14ac:dyDescent="0.25">
      <c r="A972">
        <v>1071</v>
      </c>
      <c r="B972" t="s">
        <v>34</v>
      </c>
      <c r="C972" t="s">
        <v>27</v>
      </c>
      <c r="D972" t="s">
        <v>69</v>
      </c>
      <c r="E972" t="s">
        <v>98</v>
      </c>
      <c r="F972">
        <v>4</v>
      </c>
      <c r="G972">
        <v>37631</v>
      </c>
      <c r="H972" t="s">
        <v>117</v>
      </c>
      <c r="J972">
        <v>0</v>
      </c>
      <c r="K972" t="s">
        <v>45</v>
      </c>
      <c r="L972" t="s">
        <v>55</v>
      </c>
      <c r="M972" t="s">
        <v>100</v>
      </c>
      <c r="N972">
        <v>150524</v>
      </c>
      <c r="O972">
        <v>44510.81</v>
      </c>
      <c r="P972" t="s">
        <v>33</v>
      </c>
      <c r="Q972" t="s">
        <v>25</v>
      </c>
    </row>
    <row r="973" spans="1:17" x14ac:dyDescent="0.25">
      <c r="A973">
        <v>1072</v>
      </c>
      <c r="B973" t="s">
        <v>51</v>
      </c>
      <c r="C973" t="s">
        <v>27</v>
      </c>
      <c r="D973" t="s">
        <v>69</v>
      </c>
      <c r="E973" t="s">
        <v>70</v>
      </c>
      <c r="F973">
        <v>3</v>
      </c>
      <c r="G973">
        <v>2407</v>
      </c>
      <c r="H973" t="s">
        <v>138</v>
      </c>
      <c r="J973">
        <v>0</v>
      </c>
      <c r="K973" t="s">
        <v>45</v>
      </c>
      <c r="L973" t="s">
        <v>55</v>
      </c>
      <c r="M973" t="s">
        <v>100</v>
      </c>
      <c r="N973">
        <v>7221</v>
      </c>
      <c r="O973">
        <v>1017.94</v>
      </c>
      <c r="P973" t="s">
        <v>65</v>
      </c>
      <c r="Q973" t="s">
        <v>25</v>
      </c>
    </row>
    <row r="974" spans="1:17" x14ac:dyDescent="0.25">
      <c r="A974">
        <v>1073</v>
      </c>
      <c r="B974" t="s">
        <v>84</v>
      </c>
      <c r="C974" t="s">
        <v>27</v>
      </c>
      <c r="D974" t="s">
        <v>28</v>
      </c>
      <c r="E974" t="s">
        <v>103</v>
      </c>
      <c r="F974">
        <v>5</v>
      </c>
      <c r="G974">
        <v>24446</v>
      </c>
      <c r="H974" t="s">
        <v>196</v>
      </c>
      <c r="J974">
        <v>5</v>
      </c>
      <c r="K974" t="s">
        <v>58</v>
      </c>
      <c r="L974" t="s">
        <v>22</v>
      </c>
      <c r="M974" t="s">
        <v>50</v>
      </c>
      <c r="N974">
        <v>116118.5</v>
      </c>
      <c r="O974">
        <v>28173.040000000001</v>
      </c>
      <c r="P974" t="s">
        <v>40</v>
      </c>
      <c r="Q974" t="s">
        <v>56</v>
      </c>
    </row>
    <row r="975" spans="1:17" x14ac:dyDescent="0.25">
      <c r="A975">
        <v>1074</v>
      </c>
      <c r="B975" t="s">
        <v>96</v>
      </c>
      <c r="C975" t="s">
        <v>27</v>
      </c>
      <c r="D975" t="s">
        <v>69</v>
      </c>
      <c r="E975" t="s">
        <v>121</v>
      </c>
      <c r="F975">
        <v>3</v>
      </c>
      <c r="G975">
        <v>55549</v>
      </c>
      <c r="H975" t="s">
        <v>635</v>
      </c>
      <c r="J975">
        <v>15</v>
      </c>
      <c r="K975" t="s">
        <v>58</v>
      </c>
      <c r="L975" t="s">
        <v>55</v>
      </c>
      <c r="M975" t="s">
        <v>47</v>
      </c>
      <c r="N975">
        <v>141649.95000000001</v>
      </c>
      <c r="O975">
        <v>30729.38</v>
      </c>
      <c r="P975" t="s">
        <v>33</v>
      </c>
      <c r="Q975" t="s">
        <v>75</v>
      </c>
    </row>
    <row r="976" spans="1:17" x14ac:dyDescent="0.25">
      <c r="A976">
        <v>1075</v>
      </c>
      <c r="B976" t="s">
        <v>94</v>
      </c>
      <c r="C976" t="s">
        <v>17</v>
      </c>
      <c r="D976" t="s">
        <v>18</v>
      </c>
      <c r="E976" t="s">
        <v>36</v>
      </c>
      <c r="F976">
        <v>10</v>
      </c>
      <c r="G976">
        <v>69955</v>
      </c>
      <c r="H976" t="s">
        <v>276</v>
      </c>
      <c r="J976">
        <v>20</v>
      </c>
      <c r="K976" t="s">
        <v>45</v>
      </c>
      <c r="L976" t="s">
        <v>46</v>
      </c>
      <c r="M976" t="s">
        <v>47</v>
      </c>
      <c r="N976">
        <v>559640</v>
      </c>
      <c r="O976">
        <v>127981.59</v>
      </c>
      <c r="P976" t="s">
        <v>40</v>
      </c>
      <c r="Q976" t="s">
        <v>25</v>
      </c>
    </row>
    <row r="977" spans="1:17" x14ac:dyDescent="0.25">
      <c r="A977">
        <v>1076</v>
      </c>
      <c r="B977" t="s">
        <v>107</v>
      </c>
      <c r="C977" t="s">
        <v>17</v>
      </c>
      <c r="D977" t="s">
        <v>76</v>
      </c>
      <c r="E977" t="s">
        <v>101</v>
      </c>
      <c r="F977">
        <v>2</v>
      </c>
      <c r="G977">
        <v>31979</v>
      </c>
      <c r="H977" t="s">
        <v>414</v>
      </c>
      <c r="J977">
        <v>20</v>
      </c>
      <c r="K977" t="s">
        <v>38</v>
      </c>
      <c r="L977" t="s">
        <v>22</v>
      </c>
      <c r="M977" t="s">
        <v>23</v>
      </c>
      <c r="N977">
        <v>51166.400000000001</v>
      </c>
      <c r="O977">
        <v>9156.1299999999992</v>
      </c>
      <c r="P977" t="s">
        <v>40</v>
      </c>
      <c r="Q977" t="s">
        <v>75</v>
      </c>
    </row>
    <row r="978" spans="1:17" x14ac:dyDescent="0.25">
      <c r="A978">
        <v>1077</v>
      </c>
      <c r="B978" t="s">
        <v>67</v>
      </c>
      <c r="C978" t="s">
        <v>35</v>
      </c>
      <c r="D978" t="s">
        <v>28</v>
      </c>
      <c r="E978" t="s">
        <v>103</v>
      </c>
      <c r="F978">
        <v>4</v>
      </c>
      <c r="G978">
        <v>5156</v>
      </c>
      <c r="H978" t="s">
        <v>636</v>
      </c>
      <c r="J978">
        <v>15</v>
      </c>
      <c r="K978" t="s">
        <v>21</v>
      </c>
      <c r="L978" t="s">
        <v>46</v>
      </c>
      <c r="M978" t="s">
        <v>47</v>
      </c>
      <c r="N978">
        <v>17530.400000000001</v>
      </c>
      <c r="O978">
        <v>4712.53</v>
      </c>
      <c r="P978" t="s">
        <v>24</v>
      </c>
      <c r="Q978" t="s">
        <v>56</v>
      </c>
    </row>
    <row r="979" spans="1:17" x14ac:dyDescent="0.25">
      <c r="A979">
        <v>1078</v>
      </c>
      <c r="B979" t="s">
        <v>34</v>
      </c>
      <c r="C979" t="s">
        <v>35</v>
      </c>
      <c r="D979" t="s">
        <v>69</v>
      </c>
      <c r="E979" t="s">
        <v>121</v>
      </c>
      <c r="F979">
        <v>5</v>
      </c>
      <c r="G979">
        <v>11834</v>
      </c>
      <c r="H979" t="s">
        <v>216</v>
      </c>
      <c r="J979">
        <v>5</v>
      </c>
      <c r="K979" t="s">
        <v>74</v>
      </c>
      <c r="L979" t="s">
        <v>31</v>
      </c>
      <c r="M979" t="s">
        <v>50</v>
      </c>
      <c r="N979">
        <v>56211.5</v>
      </c>
      <c r="O979">
        <v>10876.53</v>
      </c>
      <c r="P979" t="s">
        <v>24</v>
      </c>
      <c r="Q979" t="s">
        <v>25</v>
      </c>
    </row>
    <row r="980" spans="1:17" x14ac:dyDescent="0.25">
      <c r="A980">
        <v>1079</v>
      </c>
      <c r="B980" t="s">
        <v>16</v>
      </c>
      <c r="C980" t="s">
        <v>27</v>
      </c>
      <c r="D980" t="s">
        <v>28</v>
      </c>
      <c r="E980" t="s">
        <v>48</v>
      </c>
      <c r="F980">
        <v>9</v>
      </c>
      <c r="G980">
        <v>16955</v>
      </c>
      <c r="H980" t="s">
        <v>637</v>
      </c>
      <c r="J980">
        <v>0</v>
      </c>
      <c r="K980" t="s">
        <v>21</v>
      </c>
      <c r="L980" t="s">
        <v>31</v>
      </c>
      <c r="M980" t="s">
        <v>47</v>
      </c>
      <c r="N980">
        <v>152595</v>
      </c>
      <c r="O980">
        <v>17012.900000000001</v>
      </c>
      <c r="P980" t="s">
        <v>24</v>
      </c>
      <c r="Q980" t="s">
        <v>56</v>
      </c>
    </row>
    <row r="981" spans="1:17" x14ac:dyDescent="0.25">
      <c r="A981">
        <v>1080</v>
      </c>
      <c r="B981" t="s">
        <v>109</v>
      </c>
      <c r="C981" t="s">
        <v>27</v>
      </c>
      <c r="D981" t="s">
        <v>69</v>
      </c>
      <c r="E981" t="s">
        <v>98</v>
      </c>
      <c r="F981">
        <v>9</v>
      </c>
      <c r="G981">
        <v>13071</v>
      </c>
      <c r="H981" t="s">
        <v>638</v>
      </c>
      <c r="J981">
        <v>20</v>
      </c>
      <c r="K981" t="s">
        <v>58</v>
      </c>
      <c r="L981" t="s">
        <v>22</v>
      </c>
      <c r="M981" t="s">
        <v>32</v>
      </c>
      <c r="N981">
        <v>94111.2</v>
      </c>
      <c r="O981">
        <v>21534.31</v>
      </c>
      <c r="P981" t="s">
        <v>40</v>
      </c>
      <c r="Q981" t="s">
        <v>75</v>
      </c>
    </row>
    <row r="982" spans="1:17" x14ac:dyDescent="0.25">
      <c r="A982">
        <v>1081</v>
      </c>
      <c r="B982" t="s">
        <v>61</v>
      </c>
      <c r="C982" t="s">
        <v>35</v>
      </c>
      <c r="D982" t="s">
        <v>18</v>
      </c>
      <c r="E982" t="s">
        <v>36</v>
      </c>
      <c r="F982">
        <v>5</v>
      </c>
      <c r="G982">
        <v>71643</v>
      </c>
      <c r="H982" t="s">
        <v>639</v>
      </c>
      <c r="J982">
        <v>5</v>
      </c>
      <c r="K982" t="s">
        <v>74</v>
      </c>
      <c r="L982" t="s">
        <v>31</v>
      </c>
      <c r="M982" t="s">
        <v>39</v>
      </c>
      <c r="N982">
        <v>340304.25</v>
      </c>
      <c r="O982">
        <v>33390.74</v>
      </c>
      <c r="P982" t="s">
        <v>24</v>
      </c>
      <c r="Q982" t="s">
        <v>75</v>
      </c>
    </row>
    <row r="983" spans="1:17" x14ac:dyDescent="0.25">
      <c r="A983">
        <v>1082</v>
      </c>
      <c r="B983" t="s">
        <v>16</v>
      </c>
      <c r="C983" t="s">
        <v>68</v>
      </c>
      <c r="D983" t="s">
        <v>76</v>
      </c>
      <c r="E983" t="s">
        <v>77</v>
      </c>
      <c r="F983">
        <v>7</v>
      </c>
      <c r="G983">
        <v>22164</v>
      </c>
      <c r="H983" t="s">
        <v>524</v>
      </c>
      <c r="J983">
        <v>10</v>
      </c>
      <c r="K983" t="s">
        <v>21</v>
      </c>
      <c r="L983" t="s">
        <v>31</v>
      </c>
      <c r="M983" t="s">
        <v>23</v>
      </c>
      <c r="N983">
        <v>139633.20000000001</v>
      </c>
      <c r="O983">
        <v>25111.38</v>
      </c>
      <c r="P983" t="s">
        <v>65</v>
      </c>
      <c r="Q983" t="s">
        <v>56</v>
      </c>
    </row>
    <row r="984" spans="1:17" x14ac:dyDescent="0.25">
      <c r="A984">
        <v>1083</v>
      </c>
      <c r="B984" t="s">
        <v>79</v>
      </c>
      <c r="C984" t="s">
        <v>17</v>
      </c>
      <c r="D984" t="s">
        <v>18</v>
      </c>
      <c r="E984" t="s">
        <v>62</v>
      </c>
      <c r="F984">
        <v>2</v>
      </c>
      <c r="G984">
        <v>12040</v>
      </c>
      <c r="H984" t="s">
        <v>366</v>
      </c>
      <c r="J984">
        <v>0</v>
      </c>
      <c r="K984" t="s">
        <v>38</v>
      </c>
      <c r="L984" t="s">
        <v>46</v>
      </c>
      <c r="M984" t="s">
        <v>47</v>
      </c>
      <c r="N984">
        <v>24080</v>
      </c>
      <c r="O984">
        <v>2944.09</v>
      </c>
      <c r="P984" t="s">
        <v>40</v>
      </c>
      <c r="Q984" t="s">
        <v>25</v>
      </c>
    </row>
    <row r="985" spans="1:17" x14ac:dyDescent="0.25">
      <c r="A985">
        <v>1084</v>
      </c>
      <c r="B985" t="s">
        <v>16</v>
      </c>
      <c r="C985" t="s">
        <v>68</v>
      </c>
      <c r="D985" t="s">
        <v>69</v>
      </c>
      <c r="E985" t="s">
        <v>98</v>
      </c>
      <c r="F985">
        <v>10</v>
      </c>
      <c r="G985">
        <v>77944</v>
      </c>
      <c r="H985" t="s">
        <v>596</v>
      </c>
      <c r="J985">
        <v>15</v>
      </c>
      <c r="K985" t="s">
        <v>21</v>
      </c>
      <c r="L985" t="s">
        <v>22</v>
      </c>
      <c r="M985" t="s">
        <v>64</v>
      </c>
      <c r="N985">
        <v>662524</v>
      </c>
      <c r="O985">
        <v>144352.10999999999</v>
      </c>
      <c r="P985" t="s">
        <v>65</v>
      </c>
      <c r="Q985" t="s">
        <v>25</v>
      </c>
    </row>
    <row r="986" spans="1:17" x14ac:dyDescent="0.25">
      <c r="A986">
        <v>1085</v>
      </c>
      <c r="B986" t="s">
        <v>26</v>
      </c>
      <c r="C986" t="s">
        <v>17</v>
      </c>
      <c r="D986" t="s">
        <v>69</v>
      </c>
      <c r="E986" t="s">
        <v>70</v>
      </c>
      <c r="F986">
        <v>8</v>
      </c>
      <c r="G986">
        <v>20306</v>
      </c>
      <c r="H986" t="s">
        <v>640</v>
      </c>
      <c r="J986">
        <v>20</v>
      </c>
      <c r="K986" t="s">
        <v>58</v>
      </c>
      <c r="L986" t="s">
        <v>31</v>
      </c>
      <c r="M986" t="s">
        <v>32</v>
      </c>
      <c r="N986">
        <v>129958.39999999999</v>
      </c>
      <c r="O986">
        <v>27411.99</v>
      </c>
      <c r="P986" t="s">
        <v>24</v>
      </c>
      <c r="Q986" t="s">
        <v>75</v>
      </c>
    </row>
    <row r="987" spans="1:17" x14ac:dyDescent="0.25">
      <c r="A987">
        <v>1086</v>
      </c>
      <c r="B987" t="s">
        <v>61</v>
      </c>
      <c r="C987" t="s">
        <v>27</v>
      </c>
      <c r="D987" t="s">
        <v>18</v>
      </c>
      <c r="E987" t="s">
        <v>36</v>
      </c>
      <c r="F987">
        <v>10</v>
      </c>
      <c r="G987">
        <v>29404</v>
      </c>
      <c r="H987" t="s">
        <v>429</v>
      </c>
      <c r="J987">
        <v>15</v>
      </c>
      <c r="K987" t="s">
        <v>38</v>
      </c>
      <c r="L987" t="s">
        <v>55</v>
      </c>
      <c r="M987" t="s">
        <v>23</v>
      </c>
      <c r="N987">
        <v>249934</v>
      </c>
      <c r="O987">
        <v>67931.3</v>
      </c>
      <c r="P987" t="s">
        <v>65</v>
      </c>
      <c r="Q987" t="s">
        <v>56</v>
      </c>
    </row>
    <row r="988" spans="1:17" x14ac:dyDescent="0.25">
      <c r="A988">
        <v>1087</v>
      </c>
      <c r="B988" t="s">
        <v>94</v>
      </c>
      <c r="C988" t="s">
        <v>68</v>
      </c>
      <c r="D988" t="s">
        <v>18</v>
      </c>
      <c r="E988" t="s">
        <v>36</v>
      </c>
      <c r="F988">
        <v>5</v>
      </c>
      <c r="G988">
        <v>33600</v>
      </c>
      <c r="H988" t="s">
        <v>401</v>
      </c>
      <c r="J988">
        <v>20</v>
      </c>
      <c r="K988" t="s">
        <v>74</v>
      </c>
      <c r="L988" t="s">
        <v>55</v>
      </c>
      <c r="M988" t="s">
        <v>100</v>
      </c>
      <c r="N988">
        <v>134400</v>
      </c>
      <c r="O988">
        <v>21645.61</v>
      </c>
      <c r="P988" t="s">
        <v>24</v>
      </c>
      <c r="Q988" t="s">
        <v>75</v>
      </c>
    </row>
    <row r="989" spans="1:17" x14ac:dyDescent="0.25">
      <c r="A989">
        <v>1088</v>
      </c>
      <c r="B989" t="s">
        <v>26</v>
      </c>
      <c r="C989" t="s">
        <v>68</v>
      </c>
      <c r="D989" t="s">
        <v>69</v>
      </c>
      <c r="E989" t="s">
        <v>121</v>
      </c>
      <c r="F989">
        <v>7</v>
      </c>
      <c r="G989">
        <v>56198</v>
      </c>
      <c r="H989" t="s">
        <v>215</v>
      </c>
      <c r="J989">
        <v>15</v>
      </c>
      <c r="K989" t="s">
        <v>45</v>
      </c>
      <c r="L989" t="s">
        <v>55</v>
      </c>
      <c r="M989" t="s">
        <v>39</v>
      </c>
      <c r="N989">
        <v>334378.09999999998</v>
      </c>
      <c r="O989">
        <v>69019.009999999995</v>
      </c>
      <c r="P989" t="s">
        <v>65</v>
      </c>
      <c r="Q989" t="s">
        <v>56</v>
      </c>
    </row>
    <row r="990" spans="1:17" x14ac:dyDescent="0.25">
      <c r="A990">
        <v>1089</v>
      </c>
      <c r="B990" t="s">
        <v>109</v>
      </c>
      <c r="C990" t="s">
        <v>68</v>
      </c>
      <c r="D990" t="s">
        <v>69</v>
      </c>
      <c r="E990" t="s">
        <v>121</v>
      </c>
      <c r="F990">
        <v>3</v>
      </c>
      <c r="G990">
        <v>42782</v>
      </c>
      <c r="H990" t="s">
        <v>641</v>
      </c>
      <c r="J990">
        <v>0</v>
      </c>
      <c r="K990" t="s">
        <v>58</v>
      </c>
      <c r="L990" t="s">
        <v>55</v>
      </c>
      <c r="M990" t="s">
        <v>47</v>
      </c>
      <c r="N990">
        <v>128346</v>
      </c>
      <c r="O990">
        <v>29429.29</v>
      </c>
      <c r="P990" t="s">
        <v>33</v>
      </c>
      <c r="Q990" t="s">
        <v>56</v>
      </c>
    </row>
    <row r="991" spans="1:17" x14ac:dyDescent="0.25">
      <c r="A991">
        <v>1090</v>
      </c>
      <c r="B991" t="s">
        <v>61</v>
      </c>
      <c r="C991" t="s">
        <v>27</v>
      </c>
      <c r="D991" t="s">
        <v>28</v>
      </c>
      <c r="E991" t="s">
        <v>103</v>
      </c>
      <c r="F991">
        <v>1</v>
      </c>
      <c r="G991">
        <v>21442</v>
      </c>
      <c r="H991" t="s">
        <v>492</v>
      </c>
      <c r="J991">
        <v>15</v>
      </c>
      <c r="K991" t="s">
        <v>54</v>
      </c>
      <c r="L991" t="s">
        <v>46</v>
      </c>
      <c r="M991" t="s">
        <v>47</v>
      </c>
      <c r="N991">
        <v>18225.7</v>
      </c>
      <c r="O991">
        <v>5261.36</v>
      </c>
      <c r="P991" t="s">
        <v>33</v>
      </c>
      <c r="Q991" t="s">
        <v>25</v>
      </c>
    </row>
    <row r="992" spans="1:17" x14ac:dyDescent="0.25">
      <c r="A992">
        <v>1091</v>
      </c>
      <c r="B992" t="s">
        <v>91</v>
      </c>
      <c r="C992" t="s">
        <v>17</v>
      </c>
      <c r="D992" t="s">
        <v>18</v>
      </c>
      <c r="E992" t="s">
        <v>62</v>
      </c>
      <c r="F992">
        <v>5</v>
      </c>
      <c r="G992">
        <v>34111</v>
      </c>
      <c r="H992" t="s">
        <v>642</v>
      </c>
      <c r="J992">
        <v>5</v>
      </c>
      <c r="K992" t="s">
        <v>38</v>
      </c>
      <c r="L992" t="s">
        <v>55</v>
      </c>
      <c r="M992" t="s">
        <v>81</v>
      </c>
      <c r="N992">
        <v>162027.25</v>
      </c>
      <c r="O992">
        <v>37132.82</v>
      </c>
      <c r="P992" t="s">
        <v>40</v>
      </c>
      <c r="Q992" t="s">
        <v>75</v>
      </c>
    </row>
    <row r="993" spans="1:17" x14ac:dyDescent="0.25">
      <c r="A993">
        <v>1092</v>
      </c>
      <c r="B993" t="s">
        <v>96</v>
      </c>
      <c r="C993" t="s">
        <v>17</v>
      </c>
      <c r="D993" t="s">
        <v>42</v>
      </c>
      <c r="E993" t="s">
        <v>43</v>
      </c>
      <c r="F993">
        <v>8</v>
      </c>
      <c r="G993">
        <v>38107</v>
      </c>
      <c r="H993" t="s">
        <v>372</v>
      </c>
      <c r="J993">
        <v>15</v>
      </c>
      <c r="K993" t="s">
        <v>74</v>
      </c>
      <c r="L993" t="s">
        <v>22</v>
      </c>
      <c r="M993" t="s">
        <v>50</v>
      </c>
      <c r="N993">
        <v>259127.6</v>
      </c>
      <c r="O993">
        <v>71415.33</v>
      </c>
      <c r="P993" t="s">
        <v>24</v>
      </c>
      <c r="Q993" t="s">
        <v>25</v>
      </c>
    </row>
    <row r="994" spans="1:17" x14ac:dyDescent="0.25">
      <c r="A994">
        <v>1093</v>
      </c>
      <c r="B994" t="s">
        <v>109</v>
      </c>
      <c r="C994" t="s">
        <v>35</v>
      </c>
      <c r="D994" t="s">
        <v>69</v>
      </c>
      <c r="E994" t="s">
        <v>121</v>
      </c>
      <c r="F994">
        <v>8</v>
      </c>
      <c r="G994">
        <v>15553</v>
      </c>
      <c r="H994" t="s">
        <v>592</v>
      </c>
      <c r="J994">
        <v>20</v>
      </c>
      <c r="K994" t="s">
        <v>45</v>
      </c>
      <c r="L994" t="s">
        <v>31</v>
      </c>
      <c r="M994" t="s">
        <v>47</v>
      </c>
      <c r="N994">
        <v>99539.199999999997</v>
      </c>
      <c r="O994">
        <v>13406.69</v>
      </c>
      <c r="P994" t="s">
        <v>65</v>
      </c>
      <c r="Q994" t="s">
        <v>56</v>
      </c>
    </row>
    <row r="995" spans="1:17" x14ac:dyDescent="0.25">
      <c r="A995">
        <v>1094</v>
      </c>
      <c r="B995" t="s">
        <v>79</v>
      </c>
      <c r="C995" t="s">
        <v>27</v>
      </c>
      <c r="D995" t="s">
        <v>69</v>
      </c>
      <c r="E995" t="s">
        <v>70</v>
      </c>
      <c r="F995">
        <v>7</v>
      </c>
      <c r="G995">
        <v>12834</v>
      </c>
      <c r="H995" t="s">
        <v>333</v>
      </c>
      <c r="J995">
        <v>20</v>
      </c>
      <c r="K995" t="s">
        <v>54</v>
      </c>
      <c r="L995" t="s">
        <v>31</v>
      </c>
      <c r="M995" t="s">
        <v>81</v>
      </c>
      <c r="N995">
        <v>71870.399999999994</v>
      </c>
      <c r="O995">
        <v>19324.82</v>
      </c>
      <c r="P995" t="s">
        <v>33</v>
      </c>
      <c r="Q995" t="s">
        <v>25</v>
      </c>
    </row>
    <row r="996" spans="1:17" x14ac:dyDescent="0.25">
      <c r="A996">
        <v>1095</v>
      </c>
      <c r="B996" t="s">
        <v>96</v>
      </c>
      <c r="C996" t="s">
        <v>17</v>
      </c>
      <c r="D996" t="s">
        <v>69</v>
      </c>
      <c r="E996" t="s">
        <v>70</v>
      </c>
      <c r="F996">
        <v>3</v>
      </c>
      <c r="G996">
        <v>70860</v>
      </c>
      <c r="H996" t="s">
        <v>310</v>
      </c>
      <c r="J996">
        <v>20</v>
      </c>
      <c r="K996" t="s">
        <v>54</v>
      </c>
      <c r="L996" t="s">
        <v>22</v>
      </c>
      <c r="M996" t="s">
        <v>50</v>
      </c>
      <c r="N996">
        <v>170064</v>
      </c>
      <c r="O996">
        <v>44046.02</v>
      </c>
      <c r="P996" t="s">
        <v>65</v>
      </c>
      <c r="Q996" t="s">
        <v>56</v>
      </c>
    </row>
    <row r="997" spans="1:17" x14ac:dyDescent="0.25">
      <c r="A997">
        <v>1096</v>
      </c>
      <c r="B997" t="s">
        <v>51</v>
      </c>
      <c r="C997" t="s">
        <v>17</v>
      </c>
      <c r="D997" t="s">
        <v>76</v>
      </c>
      <c r="E997" t="s">
        <v>101</v>
      </c>
      <c r="F997">
        <v>3</v>
      </c>
      <c r="G997">
        <v>77030</v>
      </c>
      <c r="H997" t="s">
        <v>291</v>
      </c>
      <c r="J997">
        <v>10</v>
      </c>
      <c r="K997" t="s">
        <v>45</v>
      </c>
      <c r="L997" t="s">
        <v>22</v>
      </c>
      <c r="M997" t="s">
        <v>50</v>
      </c>
      <c r="N997">
        <v>207981</v>
      </c>
      <c r="O997">
        <v>62017.38</v>
      </c>
      <c r="P997" t="s">
        <v>65</v>
      </c>
      <c r="Q997" t="s">
        <v>75</v>
      </c>
    </row>
    <row r="998" spans="1:17" x14ac:dyDescent="0.25">
      <c r="A998">
        <v>1097</v>
      </c>
      <c r="B998" t="s">
        <v>91</v>
      </c>
      <c r="C998" t="s">
        <v>68</v>
      </c>
      <c r="D998" t="s">
        <v>69</v>
      </c>
      <c r="E998" t="s">
        <v>121</v>
      </c>
      <c r="F998">
        <v>5</v>
      </c>
      <c r="G998">
        <v>5424</v>
      </c>
      <c r="H998" t="s">
        <v>136</v>
      </c>
      <c r="J998">
        <v>5</v>
      </c>
      <c r="K998" t="s">
        <v>21</v>
      </c>
      <c r="L998" t="s">
        <v>22</v>
      </c>
      <c r="M998" t="s">
        <v>50</v>
      </c>
      <c r="N998">
        <v>25764</v>
      </c>
      <c r="O998">
        <v>7361.45</v>
      </c>
      <c r="P998" t="s">
        <v>65</v>
      </c>
      <c r="Q998" t="s">
        <v>56</v>
      </c>
    </row>
    <row r="999" spans="1:17" x14ac:dyDescent="0.25">
      <c r="A999">
        <v>1098</v>
      </c>
      <c r="B999" t="s">
        <v>51</v>
      </c>
      <c r="C999" t="s">
        <v>35</v>
      </c>
      <c r="D999" t="s">
        <v>28</v>
      </c>
      <c r="E999" t="s">
        <v>29</v>
      </c>
      <c r="F999">
        <v>6</v>
      </c>
      <c r="G999">
        <v>66731</v>
      </c>
      <c r="H999" t="s">
        <v>633</v>
      </c>
      <c r="J999">
        <v>0</v>
      </c>
      <c r="K999" t="s">
        <v>74</v>
      </c>
      <c r="L999" t="s">
        <v>55</v>
      </c>
      <c r="M999" t="s">
        <v>100</v>
      </c>
      <c r="N999">
        <v>400386</v>
      </c>
      <c r="O999">
        <v>113145.32</v>
      </c>
      <c r="P999" t="s">
        <v>33</v>
      </c>
      <c r="Q999" t="s">
        <v>75</v>
      </c>
    </row>
    <row r="1000" spans="1:17" x14ac:dyDescent="0.25">
      <c r="A1000">
        <v>1099</v>
      </c>
      <c r="B1000" t="s">
        <v>109</v>
      </c>
      <c r="C1000" t="s">
        <v>27</v>
      </c>
      <c r="D1000" t="s">
        <v>69</v>
      </c>
      <c r="E1000" t="s">
        <v>98</v>
      </c>
      <c r="F1000">
        <v>8</v>
      </c>
      <c r="G1000">
        <v>41934</v>
      </c>
      <c r="H1000" t="s">
        <v>517</v>
      </c>
      <c r="J1000">
        <v>5</v>
      </c>
      <c r="K1000" t="s">
        <v>38</v>
      </c>
      <c r="L1000" t="s">
        <v>22</v>
      </c>
      <c r="M1000" t="s">
        <v>100</v>
      </c>
      <c r="N1000">
        <v>318698.40000000002</v>
      </c>
      <c r="O1000">
        <v>75020.02</v>
      </c>
      <c r="P1000" t="s">
        <v>24</v>
      </c>
      <c r="Q1000" t="s">
        <v>25</v>
      </c>
    </row>
    <row r="1001" spans="1:17" x14ac:dyDescent="0.25">
      <c r="A1001">
        <v>1100</v>
      </c>
      <c r="B1001" t="s">
        <v>115</v>
      </c>
      <c r="C1001" t="s">
        <v>27</v>
      </c>
      <c r="D1001" t="s">
        <v>76</v>
      </c>
      <c r="E1001" t="s">
        <v>77</v>
      </c>
      <c r="F1001">
        <v>10</v>
      </c>
      <c r="G1001">
        <v>18753</v>
      </c>
      <c r="H1001" t="s">
        <v>600</v>
      </c>
      <c r="J1001">
        <v>5</v>
      </c>
      <c r="K1001" t="s">
        <v>54</v>
      </c>
      <c r="L1001" t="s">
        <v>22</v>
      </c>
      <c r="M1001" t="s">
        <v>23</v>
      </c>
      <c r="N1001">
        <v>178153.5</v>
      </c>
      <c r="O1001">
        <v>47561.42</v>
      </c>
      <c r="P1001" t="s">
        <v>24</v>
      </c>
      <c r="Q1001"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97"/>
  <sheetViews>
    <sheetView topLeftCell="A15" zoomScaleNormal="100" workbookViewId="0">
      <selection activeCell="B24" sqref="B24"/>
    </sheetView>
  </sheetViews>
  <sheetFormatPr defaultRowHeight="15" x14ac:dyDescent="0.25"/>
  <cols>
    <col min="1" max="1" width="18.42578125" bestFit="1" customWidth="1"/>
    <col min="2" max="2" width="17.28515625" bestFit="1" customWidth="1"/>
    <col min="3" max="4" width="12" bestFit="1" customWidth="1"/>
    <col min="5" max="5" width="11" customWidth="1"/>
    <col min="6" max="6" width="12" customWidth="1"/>
    <col min="7" max="7" width="13.140625" bestFit="1" customWidth="1"/>
    <col min="8" max="8" width="17.28515625" bestFit="1" customWidth="1"/>
    <col min="9" max="9" width="17.28515625" customWidth="1"/>
    <col min="10" max="10" width="13.140625" bestFit="1" customWidth="1"/>
    <col min="11" max="11" width="18.7109375" bestFit="1" customWidth="1"/>
    <col min="12" max="13" width="12.5703125" bestFit="1" customWidth="1"/>
    <col min="14" max="161" width="10.140625" bestFit="1" customWidth="1"/>
    <col min="162" max="162" width="10.85546875" bestFit="1" customWidth="1"/>
    <col min="163" max="222" width="10.140625" bestFit="1" customWidth="1"/>
    <col min="223" max="223" width="10.85546875" bestFit="1" customWidth="1"/>
    <col min="224" max="264" width="10.140625" bestFit="1" customWidth="1"/>
    <col min="265" max="265" width="10.85546875" bestFit="1" customWidth="1"/>
    <col min="266" max="406" width="10.140625" bestFit="1" customWidth="1"/>
    <col min="407" max="407" width="10.85546875" bestFit="1" customWidth="1"/>
    <col min="408" max="504" width="10.140625" bestFit="1" customWidth="1"/>
    <col min="505" max="505" width="10.85546875" bestFit="1" customWidth="1"/>
    <col min="506" max="558" width="10.140625" bestFit="1" customWidth="1"/>
    <col min="559" max="559" width="10.85546875" bestFit="1" customWidth="1"/>
    <col min="560" max="563" width="10.140625" bestFit="1" customWidth="1"/>
    <col min="564" max="564" width="11.85546875" bestFit="1" customWidth="1"/>
  </cols>
  <sheetData>
    <row r="1" spans="1:12" ht="15.75" thickBot="1" x14ac:dyDescent="0.3">
      <c r="A1" s="8" t="s">
        <v>647</v>
      </c>
      <c r="B1" s="9"/>
      <c r="C1" s="9"/>
      <c r="D1" s="9"/>
      <c r="E1" s="9"/>
      <c r="F1" s="10"/>
      <c r="H1" s="6" t="s">
        <v>652</v>
      </c>
      <c r="I1" s="7"/>
    </row>
    <row r="2" spans="1:12" x14ac:dyDescent="0.25">
      <c r="A2" s="1" t="s">
        <v>645</v>
      </c>
      <c r="B2" s="1" t="s">
        <v>646</v>
      </c>
      <c r="C2" s="2"/>
      <c r="D2" s="2"/>
      <c r="E2" s="2"/>
      <c r="F2" s="2"/>
      <c r="H2" s="1" t="s">
        <v>643</v>
      </c>
      <c r="I2" s="2" t="s">
        <v>645</v>
      </c>
      <c r="K2" s="2" t="s">
        <v>645</v>
      </c>
      <c r="L2" s="2" t="s">
        <v>659</v>
      </c>
    </row>
    <row r="3" spans="1:12" x14ac:dyDescent="0.25">
      <c r="A3" s="1" t="s">
        <v>643</v>
      </c>
      <c r="B3" s="2" t="s">
        <v>27</v>
      </c>
      <c r="C3" s="2" t="s">
        <v>17</v>
      </c>
      <c r="D3" s="2" t="s">
        <v>35</v>
      </c>
      <c r="E3" s="2" t="s">
        <v>68</v>
      </c>
      <c r="F3" s="2" t="s">
        <v>644</v>
      </c>
      <c r="H3" s="3" t="s">
        <v>27</v>
      </c>
      <c r="I3" s="13">
        <v>46422302.25000003</v>
      </c>
      <c r="K3" s="13">
        <v>204473674.89999977</v>
      </c>
      <c r="L3" s="13">
        <v>38817462.750000082</v>
      </c>
    </row>
    <row r="4" spans="1:12" x14ac:dyDescent="0.25">
      <c r="A4" s="3" t="s">
        <v>18</v>
      </c>
      <c r="B4" s="13">
        <v>10288711.199999999</v>
      </c>
      <c r="C4" s="13">
        <v>13316545.399999999</v>
      </c>
      <c r="D4" s="13">
        <v>11840013.049999999</v>
      </c>
      <c r="E4" s="13">
        <v>11812503</v>
      </c>
      <c r="F4" s="13">
        <v>47257772.649999999</v>
      </c>
      <c r="H4" s="3" t="s">
        <v>17</v>
      </c>
      <c r="I4" s="13">
        <v>56523250.749999985</v>
      </c>
      <c r="K4" s="2" t="s">
        <v>660</v>
      </c>
      <c r="L4" s="2" t="s">
        <v>661</v>
      </c>
    </row>
    <row r="5" spans="1:12" x14ac:dyDescent="0.25">
      <c r="A5" s="3" t="s">
        <v>76</v>
      </c>
      <c r="B5" s="13">
        <v>8772340.5499999989</v>
      </c>
      <c r="C5" s="13">
        <v>12752180.600000001</v>
      </c>
      <c r="D5" s="13">
        <v>7530521.8999999994</v>
      </c>
      <c r="E5" s="13">
        <v>11308432.099999998</v>
      </c>
      <c r="F5" s="13">
        <v>40363475.149999991</v>
      </c>
      <c r="H5" s="3" t="s">
        <v>35</v>
      </c>
      <c r="I5" s="13">
        <v>48332155.300000042</v>
      </c>
      <c r="K5" s="13">
        <v>1000</v>
      </c>
      <c r="L5" s="13">
        <v>204473.67489999978</v>
      </c>
    </row>
    <row r="6" spans="1:12" x14ac:dyDescent="0.25">
      <c r="A6" s="3" t="s">
        <v>69</v>
      </c>
      <c r="B6" s="13">
        <v>10225133.800000001</v>
      </c>
      <c r="C6" s="13">
        <v>10204132.500000002</v>
      </c>
      <c r="D6" s="13">
        <v>9410568.4499999955</v>
      </c>
      <c r="E6" s="13">
        <v>11335436.800000001</v>
      </c>
      <c r="F6" s="13">
        <v>41175271.549999997</v>
      </c>
      <c r="H6" s="3" t="s">
        <v>68</v>
      </c>
      <c r="I6" s="13">
        <v>53195966.600000009</v>
      </c>
    </row>
    <row r="7" spans="1:12" x14ac:dyDescent="0.25">
      <c r="A7" s="3" t="s">
        <v>42</v>
      </c>
      <c r="B7" s="13">
        <v>8618001</v>
      </c>
      <c r="C7" s="13">
        <v>10795619.599999998</v>
      </c>
      <c r="D7" s="13">
        <v>12031295.999999996</v>
      </c>
      <c r="E7" s="13">
        <v>8811514.3999999985</v>
      </c>
      <c r="F7" s="13">
        <v>40256430.999999993</v>
      </c>
      <c r="H7" s="3" t="s">
        <v>644</v>
      </c>
      <c r="I7" s="13">
        <v>204473674.9000001</v>
      </c>
    </row>
    <row r="8" spans="1:12" x14ac:dyDescent="0.25">
      <c r="A8" s="3" t="s">
        <v>28</v>
      </c>
      <c r="B8" s="13">
        <v>8518115.6999999974</v>
      </c>
      <c r="C8" s="13">
        <v>9454772.6499999985</v>
      </c>
      <c r="D8" s="13">
        <v>7519755.8999999994</v>
      </c>
      <c r="E8" s="13">
        <v>9928080.3000000026</v>
      </c>
      <c r="F8" s="13">
        <v>35420724.549999997</v>
      </c>
    </row>
    <row r="9" spans="1:12" x14ac:dyDescent="0.25">
      <c r="A9" s="3" t="s">
        <v>644</v>
      </c>
      <c r="B9" s="13">
        <v>46422302.249999993</v>
      </c>
      <c r="C9" s="13">
        <v>56523250.749999993</v>
      </c>
      <c r="D9" s="13">
        <v>48332155.29999999</v>
      </c>
      <c r="E9" s="13">
        <v>53195966.600000001</v>
      </c>
      <c r="F9" s="13">
        <v>204473674.89999998</v>
      </c>
    </row>
    <row r="10" spans="1:12" ht="15.75" thickBot="1" x14ac:dyDescent="0.3"/>
    <row r="11" spans="1:12" ht="15.75" thickBot="1" x14ac:dyDescent="0.3">
      <c r="A11" s="11" t="s">
        <v>648</v>
      </c>
      <c r="B11" s="12"/>
      <c r="D11" s="6"/>
      <c r="E11" s="7"/>
      <c r="G11" s="6" t="s">
        <v>650</v>
      </c>
      <c r="H11" s="7"/>
      <c r="J11" s="6" t="s">
        <v>653</v>
      </c>
      <c r="K11" s="7"/>
    </row>
    <row r="12" spans="1:12" x14ac:dyDescent="0.25">
      <c r="A12" s="1" t="s">
        <v>643</v>
      </c>
      <c r="B12" s="2" t="s">
        <v>645</v>
      </c>
      <c r="G12" s="1" t="s">
        <v>643</v>
      </c>
      <c r="H12" s="2" t="s">
        <v>645</v>
      </c>
      <c r="J12" s="1" t="s">
        <v>643</v>
      </c>
      <c r="K12" s="2" t="s">
        <v>649</v>
      </c>
    </row>
    <row r="13" spans="1:12" x14ac:dyDescent="0.25">
      <c r="A13" s="3" t="s">
        <v>18</v>
      </c>
      <c r="B13" s="13">
        <v>47257772.650000006</v>
      </c>
      <c r="G13" s="3" t="s">
        <v>31</v>
      </c>
      <c r="H13" s="13">
        <v>53532537.00000003</v>
      </c>
      <c r="J13" s="3" t="s">
        <v>65</v>
      </c>
      <c r="K13" s="13">
        <v>161458</v>
      </c>
    </row>
    <row r="14" spans="1:12" x14ac:dyDescent="0.25">
      <c r="A14" s="3" t="s">
        <v>76</v>
      </c>
      <c r="B14" s="13">
        <v>40363475.150000006</v>
      </c>
      <c r="G14" s="3" t="s">
        <v>46</v>
      </c>
      <c r="H14" s="13">
        <v>49798568.900000013</v>
      </c>
      <c r="J14" s="3" t="s">
        <v>24</v>
      </c>
      <c r="K14" s="13">
        <v>150036</v>
      </c>
    </row>
    <row r="15" spans="1:12" x14ac:dyDescent="0.25">
      <c r="A15" s="3" t="s">
        <v>69</v>
      </c>
      <c r="B15" s="13">
        <v>41175271.550000012</v>
      </c>
      <c r="G15" s="3" t="s">
        <v>22</v>
      </c>
      <c r="H15" s="13">
        <v>50660068.700000025</v>
      </c>
      <c r="J15" s="3" t="s">
        <v>40</v>
      </c>
      <c r="K15" s="13">
        <v>151944</v>
      </c>
    </row>
    <row r="16" spans="1:12" x14ac:dyDescent="0.25">
      <c r="A16" s="3" t="s">
        <v>42</v>
      </c>
      <c r="B16" s="13">
        <v>40256431.000000015</v>
      </c>
      <c r="G16" s="3" t="s">
        <v>55</v>
      </c>
      <c r="H16" s="13">
        <v>50482500.300000027</v>
      </c>
      <c r="J16" s="3" t="s">
        <v>33</v>
      </c>
      <c r="K16" s="13">
        <v>137062</v>
      </c>
    </row>
    <row r="17" spans="1:12" x14ac:dyDescent="0.25">
      <c r="A17" s="3" t="s">
        <v>28</v>
      </c>
      <c r="B17" s="13">
        <v>35420724.550000004</v>
      </c>
      <c r="G17" s="3" t="s">
        <v>644</v>
      </c>
      <c r="H17" s="13">
        <v>204473674.9000001</v>
      </c>
      <c r="J17" s="3" t="s">
        <v>644</v>
      </c>
      <c r="K17" s="13">
        <v>600500</v>
      </c>
    </row>
    <row r="18" spans="1:12" x14ac:dyDescent="0.25">
      <c r="A18" s="3" t="s">
        <v>644</v>
      </c>
      <c r="B18" s="13">
        <v>204473674.90000004</v>
      </c>
    </row>
    <row r="21" spans="1:12" x14ac:dyDescent="0.25">
      <c r="I21" s="2" t="s">
        <v>12</v>
      </c>
      <c r="J21">
        <f>GETPIVOTDATA("Total Sales",$A$2)</f>
        <v>204473674.89999998</v>
      </c>
    </row>
    <row r="22" spans="1:12" x14ac:dyDescent="0.25">
      <c r="A22" s="1" t="s">
        <v>643</v>
      </c>
      <c r="B22" s="2" t="s">
        <v>645</v>
      </c>
      <c r="I22" s="2" t="s">
        <v>657</v>
      </c>
    </row>
    <row r="23" spans="1:12" x14ac:dyDescent="0.25">
      <c r="A23" s="3" t="s">
        <v>54</v>
      </c>
      <c r="B23" s="13">
        <v>4</v>
      </c>
    </row>
    <row r="24" spans="1:12" x14ac:dyDescent="0.25">
      <c r="A24" s="3" t="s">
        <v>21</v>
      </c>
      <c r="B24" s="13">
        <v>6</v>
      </c>
      <c r="H24" s="1" t="s">
        <v>643</v>
      </c>
      <c r="I24" s="2" t="s">
        <v>645</v>
      </c>
      <c r="K24" s="1" t="s">
        <v>643</v>
      </c>
      <c r="L24" s="2" t="s">
        <v>658</v>
      </c>
    </row>
    <row r="25" spans="1:12" x14ac:dyDescent="0.25">
      <c r="A25" s="3" t="s">
        <v>38</v>
      </c>
      <c r="B25" s="13">
        <v>5</v>
      </c>
      <c r="H25" s="3" t="s">
        <v>18</v>
      </c>
      <c r="I25" s="13">
        <v>47257772.650000006</v>
      </c>
      <c r="K25" s="3" t="s">
        <v>59</v>
      </c>
      <c r="L25" s="13">
        <v>403</v>
      </c>
    </row>
    <row r="26" spans="1:12" x14ac:dyDescent="0.25">
      <c r="A26" s="3" t="s">
        <v>74</v>
      </c>
      <c r="B26" s="13">
        <v>2</v>
      </c>
      <c r="H26" s="3" t="s">
        <v>76</v>
      </c>
      <c r="I26" s="13">
        <v>40363475.150000006</v>
      </c>
      <c r="K26" s="3" t="s">
        <v>72</v>
      </c>
      <c r="L26" s="13">
        <v>223</v>
      </c>
    </row>
    <row r="27" spans="1:12" x14ac:dyDescent="0.25">
      <c r="A27" s="3" t="s">
        <v>45</v>
      </c>
      <c r="B27" s="13">
        <v>1</v>
      </c>
      <c r="H27" s="3" t="s">
        <v>69</v>
      </c>
      <c r="I27" s="13">
        <v>41175271.550000012</v>
      </c>
      <c r="K27" s="3" t="s">
        <v>43</v>
      </c>
      <c r="L27" s="13">
        <v>384</v>
      </c>
    </row>
    <row r="28" spans="1:12" x14ac:dyDescent="0.25">
      <c r="A28" s="3" t="s">
        <v>58</v>
      </c>
      <c r="B28" s="13">
        <v>3</v>
      </c>
      <c r="H28" s="3" t="s">
        <v>42</v>
      </c>
      <c r="I28" s="13">
        <v>40256431.000000015</v>
      </c>
      <c r="K28" s="3" t="s">
        <v>48</v>
      </c>
      <c r="L28" s="13">
        <v>380</v>
      </c>
    </row>
    <row r="29" spans="1:12" x14ac:dyDescent="0.25">
      <c r="A29" s="3" t="s">
        <v>644</v>
      </c>
      <c r="B29" s="13"/>
      <c r="H29" s="3" t="s">
        <v>28</v>
      </c>
      <c r="I29" s="13">
        <v>35420724.550000004</v>
      </c>
      <c r="K29" s="3" t="s">
        <v>36</v>
      </c>
      <c r="L29" s="13">
        <v>375</v>
      </c>
    </row>
    <row r="30" spans="1:12" x14ac:dyDescent="0.25">
      <c r="H30" s="3" t="s">
        <v>644</v>
      </c>
      <c r="I30" s="13">
        <v>204473674.90000004</v>
      </c>
      <c r="K30" s="3" t="s">
        <v>101</v>
      </c>
      <c r="L30" s="13">
        <v>342</v>
      </c>
    </row>
    <row r="31" spans="1:12" x14ac:dyDescent="0.25">
      <c r="K31" s="3" t="s">
        <v>92</v>
      </c>
      <c r="L31" s="13">
        <v>392</v>
      </c>
    </row>
    <row r="32" spans="1:12" ht="15.75" thickBot="1" x14ac:dyDescent="0.3">
      <c r="K32" s="3" t="s">
        <v>70</v>
      </c>
      <c r="L32" s="13">
        <v>313</v>
      </c>
    </row>
    <row r="33" spans="4:12" ht="15.75" thickBot="1" x14ac:dyDescent="0.3">
      <c r="D33" s="6" t="s">
        <v>651</v>
      </c>
      <c r="E33" s="7"/>
      <c r="K33" s="3" t="s">
        <v>29</v>
      </c>
      <c r="L33" s="13">
        <v>316</v>
      </c>
    </row>
    <row r="34" spans="4:12" x14ac:dyDescent="0.25">
      <c r="D34" s="1" t="s">
        <v>643</v>
      </c>
      <c r="E34" t="s">
        <v>655</v>
      </c>
      <c r="F34" t="s">
        <v>654</v>
      </c>
      <c r="G34" t="s">
        <v>656</v>
      </c>
      <c r="K34" s="3" t="s">
        <v>103</v>
      </c>
      <c r="L34" s="13">
        <v>337</v>
      </c>
    </row>
    <row r="35" spans="4:12" x14ac:dyDescent="0.25">
      <c r="D35" s="3" t="s">
        <v>393</v>
      </c>
      <c r="E35">
        <f>YEAR(D35)</f>
        <v>2023</v>
      </c>
      <c r="F35" t="str">
        <f>TEXT(D35,"mmmm")</f>
        <v>January</v>
      </c>
      <c r="G35">
        <f>MONTH(D35)</f>
        <v>1</v>
      </c>
      <c r="K35" s="3" t="s">
        <v>62</v>
      </c>
      <c r="L35" s="13">
        <v>385</v>
      </c>
    </row>
    <row r="36" spans="4:12" x14ac:dyDescent="0.25">
      <c r="D36" s="3" t="s">
        <v>53</v>
      </c>
      <c r="E36">
        <f t="shared" ref="E36:E99" si="0">YEAR(D36)</f>
        <v>2024</v>
      </c>
      <c r="F36" t="str">
        <f>TEXT(D36,"mmmm")</f>
        <v>January</v>
      </c>
      <c r="G36">
        <f t="shared" ref="G36:G99" si="1">MONTH(D36)</f>
        <v>1</v>
      </c>
      <c r="K36" s="3" t="s">
        <v>98</v>
      </c>
      <c r="L36" s="13">
        <v>388</v>
      </c>
    </row>
    <row r="37" spans="4:12" x14ac:dyDescent="0.25">
      <c r="D37" s="3" t="s">
        <v>504</v>
      </c>
      <c r="E37">
        <f t="shared" si="0"/>
        <v>2023</v>
      </c>
      <c r="F37" t="str">
        <f t="shared" ref="F37:F100" si="2">TEXT(D37,"mmmm")</f>
        <v>January</v>
      </c>
      <c r="G37">
        <f t="shared" si="1"/>
        <v>1</v>
      </c>
      <c r="K37" s="3" t="s">
        <v>19</v>
      </c>
      <c r="L37" s="13">
        <v>268</v>
      </c>
    </row>
    <row r="38" spans="4:12" x14ac:dyDescent="0.25">
      <c r="D38" s="3" t="s">
        <v>368</v>
      </c>
      <c r="E38">
        <f t="shared" si="0"/>
        <v>2024</v>
      </c>
      <c r="F38" t="str">
        <f t="shared" si="2"/>
        <v>January</v>
      </c>
      <c r="G38">
        <f t="shared" si="1"/>
        <v>1</v>
      </c>
      <c r="K38" s="3" t="s">
        <v>77</v>
      </c>
      <c r="L38" s="13">
        <v>358</v>
      </c>
    </row>
    <row r="39" spans="4:12" x14ac:dyDescent="0.25">
      <c r="D39" s="3" t="s">
        <v>89</v>
      </c>
      <c r="E39">
        <f t="shared" si="0"/>
        <v>2023</v>
      </c>
      <c r="F39" t="str">
        <f t="shared" si="2"/>
        <v>January</v>
      </c>
      <c r="G39">
        <f t="shared" si="1"/>
        <v>1</v>
      </c>
      <c r="K39" s="3" t="s">
        <v>52</v>
      </c>
      <c r="L39" s="13">
        <v>306</v>
      </c>
    </row>
    <row r="40" spans="4:12" x14ac:dyDescent="0.25">
      <c r="D40" s="3" t="s">
        <v>221</v>
      </c>
      <c r="E40">
        <f t="shared" si="0"/>
        <v>2024</v>
      </c>
      <c r="F40" t="str">
        <f t="shared" si="2"/>
        <v>January</v>
      </c>
      <c r="G40">
        <f t="shared" si="1"/>
        <v>1</v>
      </c>
      <c r="K40" s="3" t="s">
        <v>121</v>
      </c>
      <c r="L40" s="13">
        <v>395</v>
      </c>
    </row>
    <row r="41" spans="4:12" x14ac:dyDescent="0.25">
      <c r="D41" s="3" t="s">
        <v>564</v>
      </c>
      <c r="E41">
        <f t="shared" si="0"/>
        <v>2023</v>
      </c>
      <c r="F41" t="str">
        <f t="shared" si="2"/>
        <v>January</v>
      </c>
      <c r="G41">
        <f t="shared" si="1"/>
        <v>1</v>
      </c>
      <c r="K41" s="3" t="s">
        <v>644</v>
      </c>
      <c r="L41" s="13">
        <v>5565</v>
      </c>
    </row>
    <row r="42" spans="4:12" x14ac:dyDescent="0.25">
      <c r="D42" s="3" t="s">
        <v>280</v>
      </c>
      <c r="E42">
        <f t="shared" si="0"/>
        <v>2024</v>
      </c>
      <c r="F42" t="str">
        <f t="shared" si="2"/>
        <v>January</v>
      </c>
      <c r="G42">
        <f t="shared" si="1"/>
        <v>1</v>
      </c>
    </row>
    <row r="43" spans="4:12" x14ac:dyDescent="0.25">
      <c r="D43" s="3" t="s">
        <v>284</v>
      </c>
      <c r="E43">
        <f t="shared" si="0"/>
        <v>2023</v>
      </c>
      <c r="F43" t="str">
        <f t="shared" si="2"/>
        <v>January</v>
      </c>
      <c r="G43">
        <f t="shared" si="1"/>
        <v>1</v>
      </c>
      <c r="K43" s="4" t="s">
        <v>643</v>
      </c>
      <c r="L43" t="s">
        <v>662</v>
      </c>
    </row>
    <row r="44" spans="4:12" x14ac:dyDescent="0.25">
      <c r="D44" s="3" t="s">
        <v>594</v>
      </c>
      <c r="E44">
        <f t="shared" si="0"/>
        <v>2024</v>
      </c>
      <c r="F44" t="str">
        <f t="shared" si="2"/>
        <v>January</v>
      </c>
      <c r="G44">
        <f t="shared" si="1"/>
        <v>1</v>
      </c>
      <c r="K44" s="5">
        <v>2023</v>
      </c>
      <c r="L44">
        <v>105</v>
      </c>
    </row>
    <row r="45" spans="4:12" x14ac:dyDescent="0.25">
      <c r="D45" s="3" t="s">
        <v>292</v>
      </c>
      <c r="E45">
        <f t="shared" si="0"/>
        <v>2024</v>
      </c>
      <c r="F45" t="str">
        <f t="shared" si="2"/>
        <v>January</v>
      </c>
      <c r="G45">
        <f t="shared" si="1"/>
        <v>1</v>
      </c>
      <c r="K45" s="5">
        <v>2024</v>
      </c>
      <c r="L45">
        <v>98</v>
      </c>
    </row>
    <row r="46" spans="4:12" x14ac:dyDescent="0.25">
      <c r="D46" s="3" t="s">
        <v>250</v>
      </c>
      <c r="E46">
        <f t="shared" si="0"/>
        <v>2023</v>
      </c>
      <c r="F46" t="str">
        <f t="shared" si="2"/>
        <v>January</v>
      </c>
      <c r="G46">
        <f t="shared" si="1"/>
        <v>1</v>
      </c>
      <c r="K46" s="5" t="s">
        <v>644</v>
      </c>
      <c r="L46">
        <v>203</v>
      </c>
    </row>
    <row r="47" spans="4:12" x14ac:dyDescent="0.25">
      <c r="D47" s="3" t="s">
        <v>157</v>
      </c>
      <c r="E47">
        <f t="shared" si="0"/>
        <v>2024</v>
      </c>
      <c r="F47" t="str">
        <f t="shared" si="2"/>
        <v>January</v>
      </c>
      <c r="G47">
        <f t="shared" si="1"/>
        <v>1</v>
      </c>
    </row>
    <row r="48" spans="4:12" x14ac:dyDescent="0.25">
      <c r="D48" s="3" t="s">
        <v>49</v>
      </c>
      <c r="E48">
        <f t="shared" si="0"/>
        <v>2023</v>
      </c>
      <c r="F48" t="str">
        <f t="shared" si="2"/>
        <v>January</v>
      </c>
      <c r="G48">
        <f t="shared" si="1"/>
        <v>1</v>
      </c>
    </row>
    <row r="49" spans="4:7" x14ac:dyDescent="0.25">
      <c r="D49" s="3" t="s">
        <v>154</v>
      </c>
      <c r="E49">
        <f t="shared" si="0"/>
        <v>2024</v>
      </c>
      <c r="F49" t="str">
        <f t="shared" si="2"/>
        <v>January</v>
      </c>
      <c r="G49">
        <f t="shared" si="1"/>
        <v>1</v>
      </c>
    </row>
    <row r="50" spans="4:7" x14ac:dyDescent="0.25">
      <c r="D50" s="3" t="s">
        <v>119</v>
      </c>
      <c r="E50">
        <f t="shared" si="0"/>
        <v>2023</v>
      </c>
      <c r="F50" t="str">
        <f t="shared" si="2"/>
        <v>January</v>
      </c>
      <c r="G50">
        <f t="shared" si="1"/>
        <v>1</v>
      </c>
    </row>
    <row r="51" spans="4:7" x14ac:dyDescent="0.25">
      <c r="D51" s="3" t="s">
        <v>231</v>
      </c>
      <c r="E51">
        <f t="shared" si="0"/>
        <v>2024</v>
      </c>
      <c r="F51" t="str">
        <f t="shared" si="2"/>
        <v>January</v>
      </c>
      <c r="G51">
        <f t="shared" si="1"/>
        <v>1</v>
      </c>
    </row>
    <row r="52" spans="4:7" x14ac:dyDescent="0.25">
      <c r="D52" s="3" t="s">
        <v>327</v>
      </c>
      <c r="E52">
        <f t="shared" si="0"/>
        <v>2023</v>
      </c>
      <c r="F52" t="str">
        <f t="shared" si="2"/>
        <v>January</v>
      </c>
      <c r="G52">
        <f t="shared" si="1"/>
        <v>1</v>
      </c>
    </row>
    <row r="53" spans="4:7" x14ac:dyDescent="0.25">
      <c r="D53" s="3" t="s">
        <v>506</v>
      </c>
      <c r="E53">
        <f t="shared" si="0"/>
        <v>2024</v>
      </c>
      <c r="F53" t="str">
        <f t="shared" si="2"/>
        <v>January</v>
      </c>
      <c r="G53">
        <f t="shared" si="1"/>
        <v>1</v>
      </c>
    </row>
    <row r="54" spans="4:7" x14ac:dyDescent="0.25">
      <c r="D54" s="3" t="s">
        <v>246</v>
      </c>
      <c r="E54">
        <f t="shared" si="0"/>
        <v>2023</v>
      </c>
      <c r="F54" t="str">
        <f t="shared" si="2"/>
        <v>February</v>
      </c>
      <c r="G54">
        <f t="shared" si="1"/>
        <v>2</v>
      </c>
    </row>
    <row r="55" spans="4:7" x14ac:dyDescent="0.25">
      <c r="D55" s="3" t="s">
        <v>450</v>
      </c>
      <c r="E55">
        <f t="shared" si="0"/>
        <v>2024</v>
      </c>
      <c r="F55" t="str">
        <f t="shared" si="2"/>
        <v>February</v>
      </c>
      <c r="G55">
        <f t="shared" si="1"/>
        <v>2</v>
      </c>
    </row>
    <row r="56" spans="4:7" x14ac:dyDescent="0.25">
      <c r="D56" s="3" t="s">
        <v>283</v>
      </c>
      <c r="E56">
        <f t="shared" si="0"/>
        <v>2023</v>
      </c>
      <c r="F56" t="str">
        <f t="shared" si="2"/>
        <v>February</v>
      </c>
      <c r="G56">
        <f t="shared" si="1"/>
        <v>2</v>
      </c>
    </row>
    <row r="57" spans="4:7" x14ac:dyDescent="0.25">
      <c r="D57" s="3" t="s">
        <v>542</v>
      </c>
      <c r="E57">
        <f t="shared" si="0"/>
        <v>2024</v>
      </c>
      <c r="F57" t="str">
        <f t="shared" si="2"/>
        <v>February</v>
      </c>
      <c r="G57">
        <f t="shared" si="1"/>
        <v>2</v>
      </c>
    </row>
    <row r="58" spans="4:7" x14ac:dyDescent="0.25">
      <c r="D58" s="3" t="s">
        <v>158</v>
      </c>
      <c r="E58">
        <f t="shared" si="0"/>
        <v>2023</v>
      </c>
      <c r="F58" t="str">
        <f t="shared" si="2"/>
        <v>February</v>
      </c>
      <c r="G58">
        <f t="shared" si="1"/>
        <v>2</v>
      </c>
    </row>
    <row r="59" spans="4:7" x14ac:dyDescent="0.25">
      <c r="D59" s="3" t="s">
        <v>309</v>
      </c>
      <c r="E59">
        <f t="shared" si="0"/>
        <v>2023</v>
      </c>
      <c r="F59" t="str">
        <f t="shared" si="2"/>
        <v>February</v>
      </c>
      <c r="G59">
        <f t="shared" si="1"/>
        <v>2</v>
      </c>
    </row>
    <row r="60" spans="4:7" x14ac:dyDescent="0.25">
      <c r="D60" s="3" t="s">
        <v>622</v>
      </c>
      <c r="E60">
        <f t="shared" si="0"/>
        <v>2023</v>
      </c>
      <c r="F60" t="str">
        <f t="shared" si="2"/>
        <v>February</v>
      </c>
      <c r="G60">
        <f t="shared" si="1"/>
        <v>2</v>
      </c>
    </row>
    <row r="61" spans="4:7" x14ac:dyDescent="0.25">
      <c r="D61" s="3" t="s">
        <v>423</v>
      </c>
      <c r="E61">
        <f t="shared" si="0"/>
        <v>2024</v>
      </c>
      <c r="F61" t="str">
        <f t="shared" si="2"/>
        <v>February</v>
      </c>
      <c r="G61">
        <f t="shared" si="1"/>
        <v>2</v>
      </c>
    </row>
    <row r="62" spans="4:7" x14ac:dyDescent="0.25">
      <c r="D62" s="3" t="s">
        <v>240</v>
      </c>
      <c r="E62">
        <f t="shared" si="0"/>
        <v>2023</v>
      </c>
      <c r="F62" t="str">
        <f t="shared" si="2"/>
        <v>February</v>
      </c>
      <c r="G62">
        <f t="shared" si="1"/>
        <v>2</v>
      </c>
    </row>
    <row r="63" spans="4:7" x14ac:dyDescent="0.25">
      <c r="D63" s="3" t="s">
        <v>390</v>
      </c>
      <c r="E63">
        <f t="shared" si="0"/>
        <v>2024</v>
      </c>
      <c r="F63" t="str">
        <f t="shared" si="2"/>
        <v>February</v>
      </c>
      <c r="G63">
        <f t="shared" si="1"/>
        <v>2</v>
      </c>
    </row>
    <row r="64" spans="4:7" x14ac:dyDescent="0.25">
      <c r="D64" s="3" t="s">
        <v>139</v>
      </c>
      <c r="E64">
        <f t="shared" si="0"/>
        <v>2023</v>
      </c>
      <c r="F64" t="str">
        <f t="shared" si="2"/>
        <v>February</v>
      </c>
      <c r="G64">
        <f t="shared" si="1"/>
        <v>2</v>
      </c>
    </row>
    <row r="65" spans="4:7" x14ac:dyDescent="0.25">
      <c r="D65" s="3" t="s">
        <v>290</v>
      </c>
      <c r="E65">
        <f t="shared" si="0"/>
        <v>2024</v>
      </c>
      <c r="F65" t="str">
        <f t="shared" si="2"/>
        <v>February</v>
      </c>
      <c r="G65">
        <f t="shared" si="1"/>
        <v>2</v>
      </c>
    </row>
    <row r="66" spans="4:7" x14ac:dyDescent="0.25">
      <c r="D66" s="3" t="s">
        <v>350</v>
      </c>
      <c r="E66">
        <f t="shared" si="0"/>
        <v>2023</v>
      </c>
      <c r="F66" t="str">
        <f t="shared" si="2"/>
        <v>February</v>
      </c>
      <c r="G66">
        <f t="shared" si="1"/>
        <v>2</v>
      </c>
    </row>
    <row r="67" spans="4:7" x14ac:dyDescent="0.25">
      <c r="D67" s="3" t="s">
        <v>605</v>
      </c>
      <c r="E67">
        <f t="shared" si="0"/>
        <v>2023</v>
      </c>
      <c r="F67" t="str">
        <f t="shared" si="2"/>
        <v>February</v>
      </c>
      <c r="G67">
        <f t="shared" si="1"/>
        <v>2</v>
      </c>
    </row>
    <row r="68" spans="4:7" x14ac:dyDescent="0.25">
      <c r="D68" s="3" t="s">
        <v>102</v>
      </c>
      <c r="E68">
        <f t="shared" si="0"/>
        <v>2023</v>
      </c>
      <c r="F68" t="str">
        <f t="shared" si="2"/>
        <v>February</v>
      </c>
      <c r="G68">
        <f t="shared" si="1"/>
        <v>2</v>
      </c>
    </row>
    <row r="69" spans="4:7" x14ac:dyDescent="0.25">
      <c r="D69" s="3" t="s">
        <v>317</v>
      </c>
      <c r="E69">
        <f t="shared" si="0"/>
        <v>2024</v>
      </c>
      <c r="F69" t="str">
        <f t="shared" si="2"/>
        <v>February</v>
      </c>
      <c r="G69">
        <f t="shared" si="1"/>
        <v>2</v>
      </c>
    </row>
    <row r="70" spans="4:7" x14ac:dyDescent="0.25">
      <c r="D70" s="3" t="s">
        <v>449</v>
      </c>
      <c r="E70">
        <f t="shared" si="0"/>
        <v>2023</v>
      </c>
      <c r="F70" t="str">
        <f t="shared" si="2"/>
        <v>February</v>
      </c>
      <c r="G70">
        <f t="shared" si="1"/>
        <v>2</v>
      </c>
    </row>
    <row r="71" spans="4:7" x14ac:dyDescent="0.25">
      <c r="D71" s="3" t="s">
        <v>639</v>
      </c>
      <c r="E71">
        <f t="shared" si="0"/>
        <v>2024</v>
      </c>
      <c r="F71" t="str">
        <f t="shared" si="2"/>
        <v>February</v>
      </c>
      <c r="G71">
        <f t="shared" si="1"/>
        <v>2</v>
      </c>
    </row>
    <row r="72" spans="4:7" x14ac:dyDescent="0.25">
      <c r="D72" s="3" t="s">
        <v>612</v>
      </c>
      <c r="E72">
        <f t="shared" si="0"/>
        <v>2023</v>
      </c>
      <c r="F72" t="str">
        <f t="shared" si="2"/>
        <v>February</v>
      </c>
      <c r="G72">
        <f t="shared" si="1"/>
        <v>2</v>
      </c>
    </row>
    <row r="73" spans="4:7" x14ac:dyDescent="0.25">
      <c r="D73" s="3" t="s">
        <v>93</v>
      </c>
      <c r="E73">
        <f t="shared" si="0"/>
        <v>2024</v>
      </c>
      <c r="F73" t="str">
        <f t="shared" si="2"/>
        <v>February</v>
      </c>
      <c r="G73">
        <f t="shared" si="1"/>
        <v>2</v>
      </c>
    </row>
    <row r="74" spans="4:7" x14ac:dyDescent="0.25">
      <c r="D74" s="3" t="s">
        <v>518</v>
      </c>
      <c r="E74">
        <f t="shared" si="0"/>
        <v>2023</v>
      </c>
      <c r="F74" t="str">
        <f t="shared" si="2"/>
        <v>March</v>
      </c>
      <c r="G74">
        <f t="shared" si="1"/>
        <v>3</v>
      </c>
    </row>
    <row r="75" spans="4:7" x14ac:dyDescent="0.25">
      <c r="D75" s="3" t="s">
        <v>278</v>
      </c>
      <c r="E75">
        <f t="shared" si="0"/>
        <v>2024</v>
      </c>
      <c r="F75" t="str">
        <f t="shared" si="2"/>
        <v>March</v>
      </c>
      <c r="G75">
        <f t="shared" si="1"/>
        <v>3</v>
      </c>
    </row>
    <row r="76" spans="4:7" x14ac:dyDescent="0.25">
      <c r="D76" s="3" t="s">
        <v>322</v>
      </c>
      <c r="E76">
        <f t="shared" si="0"/>
        <v>2023</v>
      </c>
      <c r="F76" t="str">
        <f t="shared" si="2"/>
        <v>March</v>
      </c>
      <c r="G76">
        <f t="shared" si="1"/>
        <v>3</v>
      </c>
    </row>
    <row r="77" spans="4:7" x14ac:dyDescent="0.25">
      <c r="D77" s="3" t="s">
        <v>312</v>
      </c>
      <c r="E77">
        <f t="shared" si="0"/>
        <v>2024</v>
      </c>
      <c r="F77" t="str">
        <f t="shared" si="2"/>
        <v>March</v>
      </c>
      <c r="G77">
        <f t="shared" si="1"/>
        <v>3</v>
      </c>
    </row>
    <row r="78" spans="4:7" x14ac:dyDescent="0.25">
      <c r="D78" s="3" t="s">
        <v>211</v>
      </c>
      <c r="E78">
        <f t="shared" si="0"/>
        <v>2023</v>
      </c>
      <c r="F78" t="str">
        <f t="shared" si="2"/>
        <v>March</v>
      </c>
      <c r="G78">
        <f t="shared" si="1"/>
        <v>3</v>
      </c>
    </row>
    <row r="79" spans="4:7" x14ac:dyDescent="0.25">
      <c r="D79" s="3" t="s">
        <v>617</v>
      </c>
      <c r="E79">
        <f t="shared" si="0"/>
        <v>2024</v>
      </c>
      <c r="F79" t="str">
        <f t="shared" si="2"/>
        <v>March</v>
      </c>
      <c r="G79">
        <f t="shared" si="1"/>
        <v>3</v>
      </c>
    </row>
    <row r="80" spans="4:7" x14ac:dyDescent="0.25">
      <c r="D80" s="3" t="s">
        <v>624</v>
      </c>
      <c r="E80">
        <f t="shared" si="0"/>
        <v>2023</v>
      </c>
      <c r="F80" t="str">
        <f t="shared" si="2"/>
        <v>March</v>
      </c>
      <c r="G80">
        <f t="shared" si="1"/>
        <v>3</v>
      </c>
    </row>
    <row r="81" spans="4:7" x14ac:dyDescent="0.25">
      <c r="D81" s="3" t="s">
        <v>487</v>
      </c>
      <c r="E81">
        <f t="shared" si="0"/>
        <v>2024</v>
      </c>
      <c r="F81" t="str">
        <f t="shared" si="2"/>
        <v>March</v>
      </c>
      <c r="G81">
        <f t="shared" si="1"/>
        <v>3</v>
      </c>
    </row>
    <row r="82" spans="4:7" x14ac:dyDescent="0.25">
      <c r="D82" s="3" t="s">
        <v>562</v>
      </c>
      <c r="E82">
        <f t="shared" si="0"/>
        <v>2023</v>
      </c>
      <c r="F82" t="str">
        <f t="shared" si="2"/>
        <v>March</v>
      </c>
      <c r="G82">
        <f t="shared" si="1"/>
        <v>3</v>
      </c>
    </row>
    <row r="83" spans="4:7" x14ac:dyDescent="0.25">
      <c r="D83" s="3" t="s">
        <v>252</v>
      </c>
      <c r="E83">
        <f t="shared" si="0"/>
        <v>2024</v>
      </c>
      <c r="F83" t="str">
        <f t="shared" si="2"/>
        <v>March</v>
      </c>
      <c r="G83">
        <f t="shared" si="1"/>
        <v>3</v>
      </c>
    </row>
    <row r="84" spans="4:7" x14ac:dyDescent="0.25">
      <c r="D84" s="3" t="s">
        <v>465</v>
      </c>
      <c r="E84">
        <f t="shared" si="0"/>
        <v>2023</v>
      </c>
      <c r="F84" t="str">
        <f t="shared" si="2"/>
        <v>March</v>
      </c>
      <c r="G84">
        <f t="shared" si="1"/>
        <v>3</v>
      </c>
    </row>
    <row r="85" spans="4:7" x14ac:dyDescent="0.25">
      <c r="D85" s="3" t="s">
        <v>474</v>
      </c>
      <c r="E85">
        <f t="shared" si="0"/>
        <v>2024</v>
      </c>
      <c r="F85" t="str">
        <f t="shared" si="2"/>
        <v>March</v>
      </c>
      <c r="G85">
        <f t="shared" si="1"/>
        <v>3</v>
      </c>
    </row>
    <row r="86" spans="4:7" x14ac:dyDescent="0.25">
      <c r="D86" s="3" t="s">
        <v>494</v>
      </c>
      <c r="E86">
        <f t="shared" si="0"/>
        <v>2023</v>
      </c>
      <c r="F86" t="str">
        <f t="shared" si="2"/>
        <v>March</v>
      </c>
      <c r="G86">
        <f t="shared" si="1"/>
        <v>3</v>
      </c>
    </row>
    <row r="87" spans="4:7" x14ac:dyDescent="0.25">
      <c r="D87" s="3" t="s">
        <v>477</v>
      </c>
      <c r="E87">
        <f t="shared" si="0"/>
        <v>2024</v>
      </c>
      <c r="F87" t="str">
        <f t="shared" si="2"/>
        <v>March</v>
      </c>
      <c r="G87">
        <f t="shared" si="1"/>
        <v>3</v>
      </c>
    </row>
    <row r="88" spans="4:7" x14ac:dyDescent="0.25">
      <c r="D88" s="3" t="s">
        <v>364</v>
      </c>
      <c r="E88">
        <f t="shared" si="0"/>
        <v>2024</v>
      </c>
      <c r="F88" t="str">
        <f t="shared" si="2"/>
        <v>March</v>
      </c>
      <c r="G88">
        <f t="shared" si="1"/>
        <v>3</v>
      </c>
    </row>
    <row r="89" spans="4:7" x14ac:dyDescent="0.25">
      <c r="D89" s="3" t="s">
        <v>337</v>
      </c>
      <c r="E89">
        <f t="shared" si="0"/>
        <v>2024</v>
      </c>
      <c r="F89" t="str">
        <f t="shared" si="2"/>
        <v>March</v>
      </c>
      <c r="G89">
        <f t="shared" si="1"/>
        <v>3</v>
      </c>
    </row>
    <row r="90" spans="4:7" x14ac:dyDescent="0.25">
      <c r="D90" s="3" t="s">
        <v>363</v>
      </c>
      <c r="E90">
        <f t="shared" si="0"/>
        <v>2023</v>
      </c>
      <c r="F90" t="str">
        <f t="shared" si="2"/>
        <v>March</v>
      </c>
      <c r="G90">
        <f t="shared" si="1"/>
        <v>3</v>
      </c>
    </row>
    <row r="91" spans="4:7" x14ac:dyDescent="0.25">
      <c r="D91" s="3" t="s">
        <v>580</v>
      </c>
      <c r="E91">
        <f t="shared" si="0"/>
        <v>2024</v>
      </c>
      <c r="F91" t="str">
        <f t="shared" si="2"/>
        <v>March</v>
      </c>
      <c r="G91">
        <f t="shared" si="1"/>
        <v>3</v>
      </c>
    </row>
    <row r="92" spans="4:7" x14ac:dyDescent="0.25">
      <c r="D92" s="3" t="s">
        <v>426</v>
      </c>
      <c r="E92">
        <f t="shared" si="0"/>
        <v>2023</v>
      </c>
      <c r="F92" t="str">
        <f t="shared" si="2"/>
        <v>March</v>
      </c>
      <c r="G92">
        <f t="shared" si="1"/>
        <v>3</v>
      </c>
    </row>
    <row r="93" spans="4:7" x14ac:dyDescent="0.25">
      <c r="D93" s="3" t="s">
        <v>615</v>
      </c>
      <c r="E93">
        <f t="shared" si="0"/>
        <v>2024</v>
      </c>
      <c r="F93" t="str">
        <f t="shared" si="2"/>
        <v>March</v>
      </c>
      <c r="G93">
        <f t="shared" si="1"/>
        <v>3</v>
      </c>
    </row>
    <row r="94" spans="4:7" x14ac:dyDescent="0.25">
      <c r="D94" s="3" t="s">
        <v>289</v>
      </c>
      <c r="E94">
        <f t="shared" si="0"/>
        <v>2023</v>
      </c>
      <c r="F94" t="str">
        <f t="shared" si="2"/>
        <v>April</v>
      </c>
      <c r="G94">
        <f t="shared" si="1"/>
        <v>4</v>
      </c>
    </row>
    <row r="95" spans="4:7" x14ac:dyDescent="0.25">
      <c r="D95" s="3" t="s">
        <v>326</v>
      </c>
      <c r="E95">
        <f t="shared" si="0"/>
        <v>2023</v>
      </c>
      <c r="F95" t="str">
        <f t="shared" si="2"/>
        <v>April</v>
      </c>
      <c r="G95">
        <f t="shared" si="1"/>
        <v>4</v>
      </c>
    </row>
    <row r="96" spans="4:7" x14ac:dyDescent="0.25">
      <c r="D96" s="3" t="s">
        <v>550</v>
      </c>
      <c r="E96">
        <f t="shared" si="0"/>
        <v>2024</v>
      </c>
      <c r="F96" t="str">
        <f t="shared" si="2"/>
        <v>April</v>
      </c>
      <c r="G96">
        <f t="shared" si="1"/>
        <v>4</v>
      </c>
    </row>
    <row r="97" spans="4:7" x14ac:dyDescent="0.25">
      <c r="D97" s="3" t="s">
        <v>401</v>
      </c>
      <c r="E97">
        <f t="shared" si="0"/>
        <v>2023</v>
      </c>
      <c r="F97" t="str">
        <f t="shared" si="2"/>
        <v>April</v>
      </c>
      <c r="G97">
        <f t="shared" si="1"/>
        <v>4</v>
      </c>
    </row>
    <row r="98" spans="4:7" x14ac:dyDescent="0.25">
      <c r="D98" s="3" t="s">
        <v>389</v>
      </c>
      <c r="E98">
        <f t="shared" si="0"/>
        <v>2024</v>
      </c>
      <c r="F98" t="str">
        <f t="shared" si="2"/>
        <v>April</v>
      </c>
      <c r="G98">
        <f t="shared" si="1"/>
        <v>4</v>
      </c>
    </row>
    <row r="99" spans="4:7" x14ac:dyDescent="0.25">
      <c r="D99" s="3" t="s">
        <v>63</v>
      </c>
      <c r="E99">
        <f t="shared" si="0"/>
        <v>2023</v>
      </c>
      <c r="F99" t="str">
        <f t="shared" si="2"/>
        <v>April</v>
      </c>
      <c r="G99">
        <f t="shared" si="1"/>
        <v>4</v>
      </c>
    </row>
    <row r="100" spans="4:7" x14ac:dyDescent="0.25">
      <c r="D100" s="3" t="s">
        <v>587</v>
      </c>
      <c r="E100">
        <f t="shared" ref="E100:E163" si="3">YEAR(D100)</f>
        <v>2024</v>
      </c>
      <c r="F100" t="str">
        <f t="shared" si="2"/>
        <v>April</v>
      </c>
      <c r="G100">
        <f t="shared" ref="G100:G163" si="4">MONTH(D100)</f>
        <v>4</v>
      </c>
    </row>
    <row r="101" spans="4:7" x14ac:dyDescent="0.25">
      <c r="D101" s="3" t="s">
        <v>275</v>
      </c>
      <c r="E101">
        <f t="shared" si="3"/>
        <v>2023</v>
      </c>
      <c r="F101" t="str">
        <f t="shared" ref="F101:F164" si="5">TEXT(D101,"mmmm")</f>
        <v>April</v>
      </c>
      <c r="G101">
        <f t="shared" si="4"/>
        <v>4</v>
      </c>
    </row>
    <row r="102" spans="4:7" x14ac:dyDescent="0.25">
      <c r="D102" s="3" t="s">
        <v>396</v>
      </c>
      <c r="E102">
        <f t="shared" si="3"/>
        <v>2023</v>
      </c>
      <c r="F102" t="str">
        <f t="shared" si="5"/>
        <v>April</v>
      </c>
      <c r="G102">
        <f t="shared" si="4"/>
        <v>4</v>
      </c>
    </row>
    <row r="103" spans="4:7" x14ac:dyDescent="0.25">
      <c r="D103" s="3" t="s">
        <v>582</v>
      </c>
      <c r="E103">
        <f t="shared" si="3"/>
        <v>2024</v>
      </c>
      <c r="F103" t="str">
        <f t="shared" si="5"/>
        <v>April</v>
      </c>
      <c r="G103">
        <f t="shared" si="4"/>
        <v>4</v>
      </c>
    </row>
    <row r="104" spans="4:7" x14ac:dyDescent="0.25">
      <c r="D104" s="3" t="s">
        <v>448</v>
      </c>
      <c r="E104">
        <f t="shared" si="3"/>
        <v>2023</v>
      </c>
      <c r="F104" t="str">
        <f t="shared" si="5"/>
        <v>April</v>
      </c>
      <c r="G104">
        <f t="shared" si="4"/>
        <v>4</v>
      </c>
    </row>
    <row r="105" spans="4:7" x14ac:dyDescent="0.25">
      <c r="D105" s="3" t="s">
        <v>321</v>
      </c>
      <c r="E105">
        <f t="shared" si="3"/>
        <v>2024</v>
      </c>
      <c r="F105" t="str">
        <f t="shared" si="5"/>
        <v>April</v>
      </c>
      <c r="G105">
        <f t="shared" si="4"/>
        <v>4</v>
      </c>
    </row>
    <row r="106" spans="4:7" x14ac:dyDescent="0.25">
      <c r="D106" s="3" t="s">
        <v>245</v>
      </c>
      <c r="E106">
        <f t="shared" si="3"/>
        <v>2023</v>
      </c>
      <c r="F106" t="str">
        <f t="shared" si="5"/>
        <v>April</v>
      </c>
      <c r="G106">
        <f t="shared" si="4"/>
        <v>4</v>
      </c>
    </row>
    <row r="107" spans="4:7" x14ac:dyDescent="0.25">
      <c r="D107" s="3" t="s">
        <v>603</v>
      </c>
      <c r="E107">
        <f t="shared" si="3"/>
        <v>2024</v>
      </c>
      <c r="F107" t="str">
        <f t="shared" si="5"/>
        <v>April</v>
      </c>
      <c r="G107">
        <f t="shared" si="4"/>
        <v>4</v>
      </c>
    </row>
    <row r="108" spans="4:7" x14ac:dyDescent="0.25">
      <c r="D108" s="3" t="s">
        <v>258</v>
      </c>
      <c r="E108">
        <f t="shared" si="3"/>
        <v>2023</v>
      </c>
      <c r="F108" t="str">
        <f t="shared" si="5"/>
        <v>April</v>
      </c>
      <c r="G108">
        <f t="shared" si="4"/>
        <v>4</v>
      </c>
    </row>
    <row r="109" spans="4:7" x14ac:dyDescent="0.25">
      <c r="D109" s="3" t="s">
        <v>539</v>
      </c>
      <c r="E109">
        <f t="shared" si="3"/>
        <v>2024</v>
      </c>
      <c r="F109" t="str">
        <f t="shared" si="5"/>
        <v>April</v>
      </c>
      <c r="G109">
        <f t="shared" si="4"/>
        <v>4</v>
      </c>
    </row>
    <row r="110" spans="4:7" x14ac:dyDescent="0.25">
      <c r="D110" s="3" t="s">
        <v>551</v>
      </c>
      <c r="E110">
        <f t="shared" si="3"/>
        <v>2024</v>
      </c>
      <c r="F110" t="str">
        <f t="shared" si="5"/>
        <v>April</v>
      </c>
      <c r="G110">
        <f t="shared" si="4"/>
        <v>4</v>
      </c>
    </row>
    <row r="111" spans="4:7" x14ac:dyDescent="0.25">
      <c r="D111" s="3" t="s">
        <v>499</v>
      </c>
      <c r="E111">
        <f t="shared" si="3"/>
        <v>2023</v>
      </c>
      <c r="F111" t="str">
        <f t="shared" si="5"/>
        <v>May</v>
      </c>
      <c r="G111">
        <f t="shared" si="4"/>
        <v>5</v>
      </c>
    </row>
    <row r="112" spans="4:7" x14ac:dyDescent="0.25">
      <c r="D112" s="3" t="s">
        <v>277</v>
      </c>
      <c r="E112">
        <f t="shared" si="3"/>
        <v>2024</v>
      </c>
      <c r="F112" t="str">
        <f t="shared" si="5"/>
        <v>May</v>
      </c>
      <c r="G112">
        <f t="shared" si="4"/>
        <v>5</v>
      </c>
    </row>
    <row r="113" spans="4:7" x14ac:dyDescent="0.25">
      <c r="D113" s="3" t="s">
        <v>558</v>
      </c>
      <c r="E113">
        <f t="shared" si="3"/>
        <v>2023</v>
      </c>
      <c r="F113" t="str">
        <f t="shared" si="5"/>
        <v>May</v>
      </c>
      <c r="G113">
        <f t="shared" si="4"/>
        <v>5</v>
      </c>
    </row>
    <row r="114" spans="4:7" x14ac:dyDescent="0.25">
      <c r="D114" s="3" t="s">
        <v>431</v>
      </c>
      <c r="E114">
        <f t="shared" si="3"/>
        <v>2024</v>
      </c>
      <c r="F114" t="str">
        <f t="shared" si="5"/>
        <v>May</v>
      </c>
      <c r="G114">
        <f t="shared" si="4"/>
        <v>5</v>
      </c>
    </row>
    <row r="115" spans="4:7" x14ac:dyDescent="0.25">
      <c r="D115" s="3" t="s">
        <v>395</v>
      </c>
      <c r="E115">
        <f t="shared" si="3"/>
        <v>2023</v>
      </c>
      <c r="F115" t="str">
        <f t="shared" si="5"/>
        <v>May</v>
      </c>
      <c r="G115">
        <f t="shared" si="4"/>
        <v>5</v>
      </c>
    </row>
    <row r="116" spans="4:7" x14ac:dyDescent="0.25">
      <c r="D116" s="3" t="s">
        <v>136</v>
      </c>
      <c r="E116">
        <f t="shared" si="3"/>
        <v>2024</v>
      </c>
      <c r="F116" t="str">
        <f t="shared" si="5"/>
        <v>May</v>
      </c>
      <c r="G116">
        <f t="shared" si="4"/>
        <v>5</v>
      </c>
    </row>
    <row r="117" spans="4:7" x14ac:dyDescent="0.25">
      <c r="D117" s="3" t="s">
        <v>251</v>
      </c>
      <c r="E117">
        <f t="shared" si="3"/>
        <v>2024</v>
      </c>
      <c r="F117" t="str">
        <f t="shared" si="5"/>
        <v>May</v>
      </c>
      <c r="G117">
        <f t="shared" si="4"/>
        <v>5</v>
      </c>
    </row>
    <row r="118" spans="4:7" x14ac:dyDescent="0.25">
      <c r="D118" s="3" t="s">
        <v>428</v>
      </c>
      <c r="E118">
        <f t="shared" si="3"/>
        <v>2024</v>
      </c>
      <c r="F118" t="str">
        <f t="shared" si="5"/>
        <v>May</v>
      </c>
      <c r="G118">
        <f t="shared" si="4"/>
        <v>5</v>
      </c>
    </row>
    <row r="119" spans="4:7" x14ac:dyDescent="0.25">
      <c r="D119" s="3" t="s">
        <v>209</v>
      </c>
      <c r="E119">
        <f t="shared" si="3"/>
        <v>2023</v>
      </c>
      <c r="F119" t="str">
        <f t="shared" si="5"/>
        <v>May</v>
      </c>
      <c r="G119">
        <f t="shared" si="4"/>
        <v>5</v>
      </c>
    </row>
    <row r="120" spans="4:7" x14ac:dyDescent="0.25">
      <c r="D120" s="3" t="s">
        <v>235</v>
      </c>
      <c r="E120">
        <f t="shared" si="3"/>
        <v>2024</v>
      </c>
      <c r="F120" t="str">
        <f t="shared" si="5"/>
        <v>May</v>
      </c>
      <c r="G120">
        <f t="shared" si="4"/>
        <v>5</v>
      </c>
    </row>
    <row r="121" spans="4:7" x14ac:dyDescent="0.25">
      <c r="D121" s="3" t="s">
        <v>482</v>
      </c>
      <c r="E121">
        <f t="shared" si="3"/>
        <v>2023</v>
      </c>
      <c r="F121" t="str">
        <f t="shared" si="5"/>
        <v>May</v>
      </c>
      <c r="G121">
        <f t="shared" si="4"/>
        <v>5</v>
      </c>
    </row>
    <row r="122" spans="4:7" x14ac:dyDescent="0.25">
      <c r="D122" s="3" t="s">
        <v>341</v>
      </c>
      <c r="E122">
        <f t="shared" si="3"/>
        <v>2024</v>
      </c>
      <c r="F122" t="str">
        <f t="shared" si="5"/>
        <v>May</v>
      </c>
      <c r="G122">
        <f t="shared" si="4"/>
        <v>5</v>
      </c>
    </row>
    <row r="123" spans="4:7" x14ac:dyDescent="0.25">
      <c r="D123" s="3" t="s">
        <v>82</v>
      </c>
      <c r="E123">
        <f t="shared" si="3"/>
        <v>2023</v>
      </c>
      <c r="F123" t="str">
        <f t="shared" si="5"/>
        <v>May</v>
      </c>
      <c r="G123">
        <f t="shared" si="4"/>
        <v>5</v>
      </c>
    </row>
    <row r="124" spans="4:7" x14ac:dyDescent="0.25">
      <c r="D124" s="3" t="s">
        <v>606</v>
      </c>
      <c r="E124">
        <f t="shared" si="3"/>
        <v>2024</v>
      </c>
      <c r="F124" t="str">
        <f t="shared" si="5"/>
        <v>May</v>
      </c>
      <c r="G124">
        <f t="shared" si="4"/>
        <v>5</v>
      </c>
    </row>
    <row r="125" spans="4:7" x14ac:dyDescent="0.25">
      <c r="D125" s="3" t="s">
        <v>416</v>
      </c>
      <c r="E125">
        <f t="shared" si="3"/>
        <v>2023</v>
      </c>
      <c r="F125" t="str">
        <f t="shared" si="5"/>
        <v>May</v>
      </c>
      <c r="G125">
        <f t="shared" si="4"/>
        <v>5</v>
      </c>
    </row>
    <row r="126" spans="4:7" x14ac:dyDescent="0.25">
      <c r="D126" s="3" t="s">
        <v>130</v>
      </c>
      <c r="E126">
        <f t="shared" si="3"/>
        <v>2024</v>
      </c>
      <c r="F126" t="str">
        <f t="shared" si="5"/>
        <v>May</v>
      </c>
      <c r="G126">
        <f t="shared" si="4"/>
        <v>5</v>
      </c>
    </row>
    <row r="127" spans="4:7" x14ac:dyDescent="0.25">
      <c r="D127" s="3" t="s">
        <v>57</v>
      </c>
      <c r="E127">
        <f t="shared" si="3"/>
        <v>2023</v>
      </c>
      <c r="F127" t="str">
        <f t="shared" si="5"/>
        <v>May</v>
      </c>
      <c r="G127">
        <f t="shared" si="4"/>
        <v>5</v>
      </c>
    </row>
    <row r="128" spans="4:7" x14ac:dyDescent="0.25">
      <c r="D128" s="3" t="s">
        <v>454</v>
      </c>
      <c r="E128">
        <f t="shared" si="3"/>
        <v>2024</v>
      </c>
      <c r="F128" t="str">
        <f t="shared" si="5"/>
        <v>June</v>
      </c>
      <c r="G128">
        <f t="shared" si="4"/>
        <v>6</v>
      </c>
    </row>
    <row r="129" spans="4:7" x14ac:dyDescent="0.25">
      <c r="D129" s="3" t="s">
        <v>392</v>
      </c>
      <c r="E129">
        <f t="shared" si="3"/>
        <v>2023</v>
      </c>
      <c r="F129" t="str">
        <f t="shared" si="5"/>
        <v>June</v>
      </c>
      <c r="G129">
        <f t="shared" si="4"/>
        <v>6</v>
      </c>
    </row>
    <row r="130" spans="4:7" x14ac:dyDescent="0.25">
      <c r="D130" s="3" t="s">
        <v>181</v>
      </c>
      <c r="E130">
        <f t="shared" si="3"/>
        <v>2024</v>
      </c>
      <c r="F130" t="str">
        <f t="shared" si="5"/>
        <v>June</v>
      </c>
      <c r="G130">
        <f t="shared" si="4"/>
        <v>6</v>
      </c>
    </row>
    <row r="131" spans="4:7" x14ac:dyDescent="0.25">
      <c r="D131" s="3" t="s">
        <v>473</v>
      </c>
      <c r="E131">
        <f t="shared" si="3"/>
        <v>2024</v>
      </c>
      <c r="F131" t="str">
        <f t="shared" si="5"/>
        <v>June</v>
      </c>
      <c r="G131">
        <f t="shared" si="4"/>
        <v>6</v>
      </c>
    </row>
    <row r="132" spans="4:7" x14ac:dyDescent="0.25">
      <c r="D132" s="3" t="s">
        <v>177</v>
      </c>
      <c r="E132">
        <f t="shared" si="3"/>
        <v>2023</v>
      </c>
      <c r="F132" t="str">
        <f t="shared" si="5"/>
        <v>June</v>
      </c>
      <c r="G132">
        <f t="shared" si="4"/>
        <v>6</v>
      </c>
    </row>
    <row r="133" spans="4:7" x14ac:dyDescent="0.25">
      <c r="D133" s="3" t="s">
        <v>485</v>
      </c>
      <c r="E133">
        <f t="shared" si="3"/>
        <v>2024</v>
      </c>
      <c r="F133" t="str">
        <f t="shared" si="5"/>
        <v>June</v>
      </c>
      <c r="G133">
        <f t="shared" si="4"/>
        <v>6</v>
      </c>
    </row>
    <row r="134" spans="4:7" x14ac:dyDescent="0.25">
      <c r="D134" s="3" t="s">
        <v>285</v>
      </c>
      <c r="E134">
        <f t="shared" si="3"/>
        <v>2023</v>
      </c>
      <c r="F134" t="str">
        <f t="shared" si="5"/>
        <v>June</v>
      </c>
      <c r="G134">
        <f t="shared" si="4"/>
        <v>6</v>
      </c>
    </row>
    <row r="135" spans="4:7" x14ac:dyDescent="0.25">
      <c r="D135" s="3" t="s">
        <v>535</v>
      </c>
      <c r="E135">
        <f t="shared" si="3"/>
        <v>2024</v>
      </c>
      <c r="F135" t="str">
        <f t="shared" si="5"/>
        <v>June</v>
      </c>
      <c r="G135">
        <f t="shared" si="4"/>
        <v>6</v>
      </c>
    </row>
    <row r="136" spans="4:7" x14ac:dyDescent="0.25">
      <c r="D136" s="3" t="s">
        <v>108</v>
      </c>
      <c r="E136">
        <f t="shared" si="3"/>
        <v>2023</v>
      </c>
      <c r="F136" t="str">
        <f t="shared" si="5"/>
        <v>June</v>
      </c>
      <c r="G136">
        <f t="shared" si="4"/>
        <v>6</v>
      </c>
    </row>
    <row r="137" spans="4:7" x14ac:dyDescent="0.25">
      <c r="D137" s="3" t="s">
        <v>104</v>
      </c>
      <c r="E137">
        <f t="shared" si="3"/>
        <v>2023</v>
      </c>
      <c r="F137" t="str">
        <f t="shared" si="5"/>
        <v>June</v>
      </c>
      <c r="G137">
        <f t="shared" si="4"/>
        <v>6</v>
      </c>
    </row>
    <row r="138" spans="4:7" x14ac:dyDescent="0.25">
      <c r="D138" s="3" t="s">
        <v>414</v>
      </c>
      <c r="E138">
        <f t="shared" si="3"/>
        <v>2024</v>
      </c>
      <c r="F138" t="str">
        <f t="shared" si="5"/>
        <v>June</v>
      </c>
      <c r="G138">
        <f t="shared" si="4"/>
        <v>6</v>
      </c>
    </row>
    <row r="139" spans="4:7" x14ac:dyDescent="0.25">
      <c r="D139" s="3" t="s">
        <v>373</v>
      </c>
      <c r="E139">
        <f t="shared" si="3"/>
        <v>2023</v>
      </c>
      <c r="F139" t="str">
        <f t="shared" si="5"/>
        <v>June</v>
      </c>
      <c r="G139">
        <f t="shared" si="4"/>
        <v>6</v>
      </c>
    </row>
    <row r="140" spans="4:7" x14ac:dyDescent="0.25">
      <c r="D140" s="3" t="s">
        <v>591</v>
      </c>
      <c r="E140">
        <f t="shared" si="3"/>
        <v>2023</v>
      </c>
      <c r="F140" t="str">
        <f t="shared" si="5"/>
        <v>June</v>
      </c>
      <c r="G140">
        <f t="shared" si="4"/>
        <v>6</v>
      </c>
    </row>
    <row r="141" spans="4:7" x14ac:dyDescent="0.25">
      <c r="D141" s="3" t="s">
        <v>479</v>
      </c>
      <c r="E141">
        <f t="shared" si="3"/>
        <v>2024</v>
      </c>
      <c r="F141" t="str">
        <f t="shared" si="5"/>
        <v>June</v>
      </c>
      <c r="G141">
        <f t="shared" si="4"/>
        <v>6</v>
      </c>
    </row>
    <row r="142" spans="4:7" x14ac:dyDescent="0.25">
      <c r="D142" s="3" t="s">
        <v>214</v>
      </c>
      <c r="E142">
        <f t="shared" si="3"/>
        <v>2023</v>
      </c>
      <c r="F142" t="str">
        <f t="shared" si="5"/>
        <v>June</v>
      </c>
      <c r="G142">
        <f t="shared" si="4"/>
        <v>6</v>
      </c>
    </row>
    <row r="143" spans="4:7" x14ac:dyDescent="0.25">
      <c r="D143" s="3" t="s">
        <v>569</v>
      </c>
      <c r="E143">
        <f t="shared" si="3"/>
        <v>2024</v>
      </c>
      <c r="F143" t="str">
        <f t="shared" si="5"/>
        <v>July</v>
      </c>
      <c r="G143">
        <f t="shared" si="4"/>
        <v>7</v>
      </c>
    </row>
    <row r="144" spans="4:7" x14ac:dyDescent="0.25">
      <c r="D144" s="3" t="s">
        <v>183</v>
      </c>
      <c r="E144">
        <f t="shared" si="3"/>
        <v>2023</v>
      </c>
      <c r="F144" t="str">
        <f t="shared" si="5"/>
        <v>July</v>
      </c>
      <c r="G144">
        <f t="shared" si="4"/>
        <v>7</v>
      </c>
    </row>
    <row r="145" spans="4:7" x14ac:dyDescent="0.25">
      <c r="D145" s="3" t="s">
        <v>501</v>
      </c>
      <c r="E145">
        <f t="shared" si="3"/>
        <v>2023</v>
      </c>
      <c r="F145" t="str">
        <f t="shared" si="5"/>
        <v>July</v>
      </c>
      <c r="G145">
        <f t="shared" si="4"/>
        <v>7</v>
      </c>
    </row>
    <row r="146" spans="4:7" x14ac:dyDescent="0.25">
      <c r="D146" s="3" t="s">
        <v>362</v>
      </c>
      <c r="E146">
        <f t="shared" si="3"/>
        <v>2024</v>
      </c>
      <c r="F146" t="str">
        <f t="shared" si="5"/>
        <v>July</v>
      </c>
      <c r="G146">
        <f t="shared" si="4"/>
        <v>7</v>
      </c>
    </row>
    <row r="147" spans="4:7" x14ac:dyDescent="0.25">
      <c r="D147" s="3" t="s">
        <v>430</v>
      </c>
      <c r="E147">
        <f t="shared" si="3"/>
        <v>2023</v>
      </c>
      <c r="F147" t="str">
        <f t="shared" si="5"/>
        <v>July</v>
      </c>
      <c r="G147">
        <f t="shared" si="4"/>
        <v>7</v>
      </c>
    </row>
    <row r="148" spans="4:7" x14ac:dyDescent="0.25">
      <c r="D148" s="3" t="s">
        <v>156</v>
      </c>
      <c r="E148">
        <f t="shared" si="3"/>
        <v>2024</v>
      </c>
      <c r="F148" t="str">
        <f t="shared" si="5"/>
        <v>July</v>
      </c>
      <c r="G148">
        <f t="shared" si="4"/>
        <v>7</v>
      </c>
    </row>
    <row r="149" spans="4:7" x14ac:dyDescent="0.25">
      <c r="D149" s="3" t="s">
        <v>459</v>
      </c>
      <c r="E149">
        <f t="shared" si="3"/>
        <v>2023</v>
      </c>
      <c r="F149" t="str">
        <f t="shared" si="5"/>
        <v>July</v>
      </c>
      <c r="G149">
        <f t="shared" si="4"/>
        <v>7</v>
      </c>
    </row>
    <row r="150" spans="4:7" x14ac:dyDescent="0.25">
      <c r="D150" s="3" t="s">
        <v>497</v>
      </c>
      <c r="E150">
        <f t="shared" si="3"/>
        <v>2023</v>
      </c>
      <c r="F150" t="str">
        <f t="shared" si="5"/>
        <v>July</v>
      </c>
      <c r="G150">
        <f t="shared" si="4"/>
        <v>7</v>
      </c>
    </row>
    <row r="151" spans="4:7" x14ac:dyDescent="0.25">
      <c r="D151" s="3" t="s">
        <v>60</v>
      </c>
      <c r="E151">
        <f t="shared" si="3"/>
        <v>2024</v>
      </c>
      <c r="F151" t="str">
        <f t="shared" si="5"/>
        <v>July</v>
      </c>
      <c r="G151">
        <f t="shared" si="4"/>
        <v>7</v>
      </c>
    </row>
    <row r="152" spans="4:7" x14ac:dyDescent="0.25">
      <c r="D152" s="3" t="s">
        <v>202</v>
      </c>
      <c r="E152">
        <f t="shared" si="3"/>
        <v>2023</v>
      </c>
      <c r="F152" t="str">
        <f t="shared" si="5"/>
        <v>July</v>
      </c>
      <c r="G152">
        <f t="shared" si="4"/>
        <v>7</v>
      </c>
    </row>
    <row r="153" spans="4:7" x14ac:dyDescent="0.25">
      <c r="D153" s="3" t="s">
        <v>220</v>
      </c>
      <c r="E153">
        <f t="shared" si="3"/>
        <v>2024</v>
      </c>
      <c r="F153" t="str">
        <f t="shared" si="5"/>
        <v>July</v>
      </c>
      <c r="G153">
        <f t="shared" si="4"/>
        <v>7</v>
      </c>
    </row>
    <row r="154" spans="4:7" x14ac:dyDescent="0.25">
      <c r="D154" s="3" t="s">
        <v>271</v>
      </c>
      <c r="E154">
        <f t="shared" si="3"/>
        <v>2023</v>
      </c>
      <c r="F154" t="str">
        <f t="shared" si="5"/>
        <v>July</v>
      </c>
      <c r="G154">
        <f t="shared" si="4"/>
        <v>7</v>
      </c>
    </row>
    <row r="155" spans="4:7" x14ac:dyDescent="0.25">
      <c r="D155" s="3" t="s">
        <v>361</v>
      </c>
      <c r="E155">
        <f t="shared" si="3"/>
        <v>2023</v>
      </c>
      <c r="F155" t="str">
        <f t="shared" si="5"/>
        <v>July</v>
      </c>
      <c r="G155">
        <f t="shared" si="4"/>
        <v>7</v>
      </c>
    </row>
    <row r="156" spans="4:7" x14ac:dyDescent="0.25">
      <c r="D156" s="3" t="s">
        <v>83</v>
      </c>
      <c r="E156">
        <f t="shared" si="3"/>
        <v>2023</v>
      </c>
      <c r="F156" t="str">
        <f t="shared" si="5"/>
        <v>July</v>
      </c>
      <c r="G156">
        <f t="shared" si="4"/>
        <v>7</v>
      </c>
    </row>
    <row r="157" spans="4:7" x14ac:dyDescent="0.25">
      <c r="D157" s="3" t="s">
        <v>236</v>
      </c>
      <c r="E157">
        <f t="shared" si="3"/>
        <v>2023</v>
      </c>
      <c r="F157" t="str">
        <f t="shared" si="5"/>
        <v>July</v>
      </c>
      <c r="G157">
        <f t="shared" si="4"/>
        <v>7</v>
      </c>
    </row>
    <row r="158" spans="4:7" x14ac:dyDescent="0.25">
      <c r="D158" s="3" t="s">
        <v>212</v>
      </c>
      <c r="E158">
        <f t="shared" si="3"/>
        <v>2023</v>
      </c>
      <c r="F158" t="str">
        <f t="shared" si="5"/>
        <v>August</v>
      </c>
      <c r="G158">
        <f t="shared" si="4"/>
        <v>8</v>
      </c>
    </row>
    <row r="159" spans="4:7" x14ac:dyDescent="0.25">
      <c r="D159" s="3" t="s">
        <v>87</v>
      </c>
      <c r="E159">
        <f t="shared" si="3"/>
        <v>2023</v>
      </c>
      <c r="F159" t="str">
        <f t="shared" si="5"/>
        <v>August</v>
      </c>
      <c r="G159">
        <f t="shared" si="4"/>
        <v>8</v>
      </c>
    </row>
    <row r="160" spans="4:7" x14ac:dyDescent="0.25">
      <c r="D160" s="3" t="s">
        <v>294</v>
      </c>
      <c r="E160">
        <f t="shared" si="3"/>
        <v>2024</v>
      </c>
      <c r="F160" t="str">
        <f t="shared" si="5"/>
        <v>August</v>
      </c>
      <c r="G160">
        <f t="shared" si="4"/>
        <v>8</v>
      </c>
    </row>
    <row r="161" spans="4:7" x14ac:dyDescent="0.25">
      <c r="D161" s="3" t="s">
        <v>549</v>
      </c>
      <c r="E161">
        <f t="shared" si="3"/>
        <v>2023</v>
      </c>
      <c r="F161" t="str">
        <f t="shared" si="5"/>
        <v>August</v>
      </c>
      <c r="G161">
        <f t="shared" si="4"/>
        <v>8</v>
      </c>
    </row>
    <row r="162" spans="4:7" x14ac:dyDescent="0.25">
      <c r="D162" s="3" t="s">
        <v>440</v>
      </c>
      <c r="E162">
        <f t="shared" si="3"/>
        <v>2024</v>
      </c>
      <c r="F162" t="str">
        <f t="shared" si="5"/>
        <v>August</v>
      </c>
      <c r="G162">
        <f t="shared" si="4"/>
        <v>8</v>
      </c>
    </row>
    <row r="163" spans="4:7" x14ac:dyDescent="0.25">
      <c r="D163" s="3" t="s">
        <v>123</v>
      </c>
      <c r="E163">
        <f t="shared" si="3"/>
        <v>2023</v>
      </c>
      <c r="F163" t="str">
        <f t="shared" si="5"/>
        <v>August</v>
      </c>
      <c r="G163">
        <f t="shared" si="4"/>
        <v>8</v>
      </c>
    </row>
    <row r="164" spans="4:7" x14ac:dyDescent="0.25">
      <c r="D164" s="3" t="s">
        <v>433</v>
      </c>
      <c r="E164">
        <f t="shared" ref="E164:E227" si="6">YEAR(D164)</f>
        <v>2024</v>
      </c>
      <c r="F164" t="str">
        <f t="shared" si="5"/>
        <v>August</v>
      </c>
      <c r="G164">
        <f t="shared" ref="G164:G227" si="7">MONTH(D164)</f>
        <v>8</v>
      </c>
    </row>
    <row r="165" spans="4:7" x14ac:dyDescent="0.25">
      <c r="D165" s="3" t="s">
        <v>330</v>
      </c>
      <c r="E165">
        <f t="shared" si="6"/>
        <v>2023</v>
      </c>
      <c r="F165" t="str">
        <f t="shared" ref="F165:F228" si="8">TEXT(D165,"mmmm")</f>
        <v>August</v>
      </c>
      <c r="G165">
        <f t="shared" si="7"/>
        <v>8</v>
      </c>
    </row>
    <row r="166" spans="4:7" x14ac:dyDescent="0.25">
      <c r="D166" s="3" t="s">
        <v>324</v>
      </c>
      <c r="E166">
        <f t="shared" si="6"/>
        <v>2024</v>
      </c>
      <c r="F166" t="str">
        <f t="shared" si="8"/>
        <v>August</v>
      </c>
      <c r="G166">
        <f t="shared" si="7"/>
        <v>8</v>
      </c>
    </row>
    <row r="167" spans="4:7" x14ac:dyDescent="0.25">
      <c r="D167" s="3" t="s">
        <v>475</v>
      </c>
      <c r="E167">
        <f t="shared" si="6"/>
        <v>2023</v>
      </c>
      <c r="F167" t="str">
        <f t="shared" si="8"/>
        <v>August</v>
      </c>
      <c r="G167">
        <f t="shared" si="7"/>
        <v>8</v>
      </c>
    </row>
    <row r="168" spans="4:7" x14ac:dyDescent="0.25">
      <c r="D168" s="3" t="s">
        <v>519</v>
      </c>
      <c r="E168">
        <f t="shared" si="6"/>
        <v>2024</v>
      </c>
      <c r="F168" t="str">
        <f t="shared" si="8"/>
        <v>August</v>
      </c>
      <c r="G168">
        <f t="shared" si="7"/>
        <v>8</v>
      </c>
    </row>
    <row r="169" spans="4:7" x14ac:dyDescent="0.25">
      <c r="D169" s="3" t="s">
        <v>409</v>
      </c>
      <c r="E169">
        <f t="shared" si="6"/>
        <v>2023</v>
      </c>
      <c r="F169" t="str">
        <f t="shared" si="8"/>
        <v>August</v>
      </c>
      <c r="G169">
        <f t="shared" si="7"/>
        <v>8</v>
      </c>
    </row>
    <row r="170" spans="4:7" x14ac:dyDescent="0.25">
      <c r="D170" s="3" t="s">
        <v>120</v>
      </c>
      <c r="E170">
        <f t="shared" si="6"/>
        <v>2024</v>
      </c>
      <c r="F170" t="str">
        <f t="shared" si="8"/>
        <v>August</v>
      </c>
      <c r="G170">
        <f t="shared" si="7"/>
        <v>8</v>
      </c>
    </row>
    <row r="171" spans="4:7" x14ac:dyDescent="0.25">
      <c r="D171" s="3" t="s">
        <v>329</v>
      </c>
      <c r="E171">
        <f t="shared" si="6"/>
        <v>2024</v>
      </c>
      <c r="F171" t="str">
        <f t="shared" si="8"/>
        <v>August</v>
      </c>
      <c r="G171">
        <f t="shared" si="7"/>
        <v>8</v>
      </c>
    </row>
    <row r="172" spans="4:7" x14ac:dyDescent="0.25">
      <c r="D172" s="3" t="s">
        <v>232</v>
      </c>
      <c r="E172">
        <f t="shared" si="6"/>
        <v>2023</v>
      </c>
      <c r="F172" t="str">
        <f t="shared" si="8"/>
        <v>August</v>
      </c>
      <c r="G172">
        <f t="shared" si="7"/>
        <v>8</v>
      </c>
    </row>
    <row r="173" spans="4:7" x14ac:dyDescent="0.25">
      <c r="D173" s="3" t="s">
        <v>293</v>
      </c>
      <c r="E173">
        <f t="shared" si="6"/>
        <v>2023</v>
      </c>
      <c r="F173" t="str">
        <f t="shared" si="8"/>
        <v>August</v>
      </c>
      <c r="G173">
        <f t="shared" si="7"/>
        <v>8</v>
      </c>
    </row>
    <row r="174" spans="4:7" x14ac:dyDescent="0.25">
      <c r="D174" s="3" t="s">
        <v>253</v>
      </c>
      <c r="E174">
        <f t="shared" si="6"/>
        <v>2024</v>
      </c>
      <c r="F174" t="str">
        <f t="shared" si="8"/>
        <v>August</v>
      </c>
      <c r="G174">
        <f t="shared" si="7"/>
        <v>8</v>
      </c>
    </row>
    <row r="175" spans="4:7" x14ac:dyDescent="0.25">
      <c r="D175" s="3" t="s">
        <v>216</v>
      </c>
      <c r="E175">
        <f t="shared" si="6"/>
        <v>2023</v>
      </c>
      <c r="F175" t="str">
        <f t="shared" si="8"/>
        <v>September</v>
      </c>
      <c r="G175">
        <f t="shared" si="7"/>
        <v>9</v>
      </c>
    </row>
    <row r="176" spans="4:7" x14ac:dyDescent="0.25">
      <c r="D176" s="3" t="s">
        <v>508</v>
      </c>
      <c r="E176">
        <f t="shared" si="6"/>
        <v>2024</v>
      </c>
      <c r="F176" t="str">
        <f t="shared" si="8"/>
        <v>September</v>
      </c>
      <c r="G176">
        <f t="shared" si="7"/>
        <v>9</v>
      </c>
    </row>
    <row r="177" spans="4:7" x14ac:dyDescent="0.25">
      <c r="D177" s="3" t="s">
        <v>180</v>
      </c>
      <c r="E177">
        <f t="shared" si="6"/>
        <v>2023</v>
      </c>
      <c r="F177" t="str">
        <f t="shared" si="8"/>
        <v>September</v>
      </c>
      <c r="G177">
        <f t="shared" si="7"/>
        <v>9</v>
      </c>
    </row>
    <row r="178" spans="4:7" x14ac:dyDescent="0.25">
      <c r="D178" s="3" t="s">
        <v>444</v>
      </c>
      <c r="E178">
        <f t="shared" si="6"/>
        <v>2024</v>
      </c>
      <c r="F178" t="str">
        <f t="shared" si="8"/>
        <v>September</v>
      </c>
      <c r="G178">
        <f t="shared" si="7"/>
        <v>9</v>
      </c>
    </row>
    <row r="179" spans="4:7" x14ac:dyDescent="0.25">
      <c r="D179" s="3" t="s">
        <v>255</v>
      </c>
      <c r="E179">
        <f t="shared" si="6"/>
        <v>2023</v>
      </c>
      <c r="F179" t="str">
        <f t="shared" si="8"/>
        <v>September</v>
      </c>
      <c r="G179">
        <f t="shared" si="7"/>
        <v>9</v>
      </c>
    </row>
    <row r="180" spans="4:7" x14ac:dyDescent="0.25">
      <c r="D180" s="3" t="s">
        <v>37</v>
      </c>
      <c r="E180">
        <f t="shared" si="6"/>
        <v>2023</v>
      </c>
      <c r="F180" t="str">
        <f t="shared" si="8"/>
        <v>September</v>
      </c>
      <c r="G180">
        <f t="shared" si="7"/>
        <v>9</v>
      </c>
    </row>
    <row r="181" spans="4:7" x14ac:dyDescent="0.25">
      <c r="D181" s="3" t="s">
        <v>145</v>
      </c>
      <c r="E181">
        <f t="shared" si="6"/>
        <v>2024</v>
      </c>
      <c r="F181" t="str">
        <f t="shared" si="8"/>
        <v>September</v>
      </c>
      <c r="G181">
        <f t="shared" si="7"/>
        <v>9</v>
      </c>
    </row>
    <row r="182" spans="4:7" x14ac:dyDescent="0.25">
      <c r="D182" s="3" t="s">
        <v>394</v>
      </c>
      <c r="E182">
        <f t="shared" si="6"/>
        <v>2023</v>
      </c>
      <c r="F182" t="str">
        <f t="shared" si="8"/>
        <v>September</v>
      </c>
      <c r="G182">
        <f t="shared" si="7"/>
        <v>9</v>
      </c>
    </row>
    <row r="183" spans="4:7" x14ac:dyDescent="0.25">
      <c r="D183" s="3" t="s">
        <v>237</v>
      </c>
      <c r="E183">
        <f t="shared" si="6"/>
        <v>2024</v>
      </c>
      <c r="F183" t="str">
        <f t="shared" si="8"/>
        <v>September</v>
      </c>
      <c r="G183">
        <f t="shared" si="7"/>
        <v>9</v>
      </c>
    </row>
    <row r="184" spans="4:7" x14ac:dyDescent="0.25">
      <c r="D184" s="3" t="s">
        <v>630</v>
      </c>
      <c r="E184">
        <f t="shared" si="6"/>
        <v>2023</v>
      </c>
      <c r="F184" t="str">
        <f t="shared" si="8"/>
        <v>September</v>
      </c>
      <c r="G184">
        <f t="shared" si="7"/>
        <v>9</v>
      </c>
    </row>
    <row r="185" spans="4:7" x14ac:dyDescent="0.25">
      <c r="D185" s="3" t="s">
        <v>213</v>
      </c>
      <c r="E185">
        <f t="shared" si="6"/>
        <v>2024</v>
      </c>
      <c r="F185" t="str">
        <f t="shared" si="8"/>
        <v>September</v>
      </c>
      <c r="G185">
        <f t="shared" si="7"/>
        <v>9</v>
      </c>
    </row>
    <row r="186" spans="4:7" x14ac:dyDescent="0.25">
      <c r="D186" s="3" t="s">
        <v>470</v>
      </c>
      <c r="E186">
        <f t="shared" si="6"/>
        <v>2023</v>
      </c>
      <c r="F186" t="str">
        <f t="shared" si="8"/>
        <v>September</v>
      </c>
      <c r="G186">
        <f t="shared" si="7"/>
        <v>9</v>
      </c>
    </row>
    <row r="187" spans="4:7" x14ac:dyDescent="0.25">
      <c r="D187" s="3" t="s">
        <v>234</v>
      </c>
      <c r="E187">
        <f t="shared" si="6"/>
        <v>2024</v>
      </c>
      <c r="F187" t="str">
        <f t="shared" si="8"/>
        <v>September</v>
      </c>
      <c r="G187">
        <f t="shared" si="7"/>
        <v>9</v>
      </c>
    </row>
    <row r="188" spans="4:7" x14ac:dyDescent="0.25">
      <c r="D188" s="3" t="s">
        <v>478</v>
      </c>
      <c r="E188">
        <f t="shared" si="6"/>
        <v>2023</v>
      </c>
      <c r="F188" t="str">
        <f t="shared" si="8"/>
        <v>September</v>
      </c>
      <c r="G188">
        <f t="shared" si="7"/>
        <v>9</v>
      </c>
    </row>
    <row r="189" spans="4:7" x14ac:dyDescent="0.25">
      <c r="D189" s="3" t="s">
        <v>198</v>
      </c>
      <c r="E189">
        <f t="shared" si="6"/>
        <v>2024</v>
      </c>
      <c r="F189" t="str">
        <f t="shared" si="8"/>
        <v>September</v>
      </c>
      <c r="G189">
        <f t="shared" si="7"/>
        <v>9</v>
      </c>
    </row>
    <row r="190" spans="4:7" x14ac:dyDescent="0.25">
      <c r="D190" s="3" t="s">
        <v>380</v>
      </c>
      <c r="E190">
        <f t="shared" si="6"/>
        <v>2023</v>
      </c>
      <c r="F190" t="str">
        <f t="shared" si="8"/>
        <v>September</v>
      </c>
      <c r="G190">
        <f t="shared" si="7"/>
        <v>9</v>
      </c>
    </row>
    <row r="191" spans="4:7" x14ac:dyDescent="0.25">
      <c r="D191" s="3" t="s">
        <v>179</v>
      </c>
      <c r="E191">
        <f t="shared" si="6"/>
        <v>2024</v>
      </c>
      <c r="F191" t="str">
        <f t="shared" si="8"/>
        <v>September</v>
      </c>
      <c r="G191">
        <f t="shared" si="7"/>
        <v>9</v>
      </c>
    </row>
    <row r="192" spans="4:7" x14ac:dyDescent="0.25">
      <c r="D192" s="3" t="s">
        <v>113</v>
      </c>
      <c r="E192">
        <f t="shared" si="6"/>
        <v>2023</v>
      </c>
      <c r="F192" t="str">
        <f t="shared" si="8"/>
        <v>September</v>
      </c>
      <c r="G192">
        <f t="shared" si="7"/>
        <v>9</v>
      </c>
    </row>
    <row r="193" spans="4:7" x14ac:dyDescent="0.25">
      <c r="D193" s="3" t="s">
        <v>471</v>
      </c>
      <c r="E193">
        <f t="shared" si="6"/>
        <v>2024</v>
      </c>
      <c r="F193" t="str">
        <f t="shared" si="8"/>
        <v>September</v>
      </c>
      <c r="G193">
        <f t="shared" si="7"/>
        <v>9</v>
      </c>
    </row>
    <row r="194" spans="4:7" x14ac:dyDescent="0.25">
      <c r="D194" s="3" t="s">
        <v>142</v>
      </c>
      <c r="E194">
        <f t="shared" si="6"/>
        <v>2023</v>
      </c>
      <c r="F194" t="str">
        <f t="shared" si="8"/>
        <v>September</v>
      </c>
      <c r="G194">
        <f t="shared" si="7"/>
        <v>9</v>
      </c>
    </row>
    <row r="195" spans="4:7" x14ac:dyDescent="0.25">
      <c r="D195" s="3" t="s">
        <v>335</v>
      </c>
      <c r="E195">
        <f t="shared" si="6"/>
        <v>2024</v>
      </c>
      <c r="F195" t="str">
        <f t="shared" si="8"/>
        <v>September</v>
      </c>
      <c r="G195">
        <f t="shared" si="7"/>
        <v>9</v>
      </c>
    </row>
    <row r="196" spans="4:7" x14ac:dyDescent="0.25">
      <c r="D196" s="3" t="s">
        <v>534</v>
      </c>
      <c r="E196">
        <f t="shared" si="6"/>
        <v>2023</v>
      </c>
      <c r="F196" t="str">
        <f t="shared" si="8"/>
        <v>September</v>
      </c>
      <c r="G196">
        <f t="shared" si="7"/>
        <v>9</v>
      </c>
    </row>
    <row r="197" spans="4:7" x14ac:dyDescent="0.25">
      <c r="D197" s="3" t="s">
        <v>637</v>
      </c>
      <c r="E197">
        <f t="shared" si="6"/>
        <v>2023</v>
      </c>
      <c r="F197" t="str">
        <f t="shared" si="8"/>
        <v>October</v>
      </c>
      <c r="G197">
        <f t="shared" si="7"/>
        <v>10</v>
      </c>
    </row>
    <row r="198" spans="4:7" x14ac:dyDescent="0.25">
      <c r="D198" s="3" t="s">
        <v>400</v>
      </c>
      <c r="E198">
        <f t="shared" si="6"/>
        <v>2024</v>
      </c>
      <c r="F198" t="str">
        <f t="shared" si="8"/>
        <v>October</v>
      </c>
      <c r="G198">
        <f t="shared" si="7"/>
        <v>10</v>
      </c>
    </row>
    <row r="199" spans="4:7" x14ac:dyDescent="0.25">
      <c r="D199" s="3" t="s">
        <v>155</v>
      </c>
      <c r="E199">
        <f t="shared" si="6"/>
        <v>2023</v>
      </c>
      <c r="F199" t="str">
        <f t="shared" si="8"/>
        <v>October</v>
      </c>
      <c r="G199">
        <f t="shared" si="7"/>
        <v>10</v>
      </c>
    </row>
    <row r="200" spans="4:7" x14ac:dyDescent="0.25">
      <c r="D200" s="3" t="s">
        <v>30</v>
      </c>
      <c r="E200">
        <f t="shared" si="6"/>
        <v>2024</v>
      </c>
      <c r="F200" t="str">
        <f t="shared" si="8"/>
        <v>October</v>
      </c>
      <c r="G200">
        <f t="shared" si="7"/>
        <v>10</v>
      </c>
    </row>
    <row r="201" spans="4:7" x14ac:dyDescent="0.25">
      <c r="D201" s="3" t="s">
        <v>171</v>
      </c>
      <c r="E201">
        <f t="shared" si="6"/>
        <v>2024</v>
      </c>
      <c r="F201" t="str">
        <f t="shared" si="8"/>
        <v>October</v>
      </c>
      <c r="G201">
        <f t="shared" si="7"/>
        <v>10</v>
      </c>
    </row>
    <row r="202" spans="4:7" x14ac:dyDescent="0.25">
      <c r="D202" s="3" t="s">
        <v>178</v>
      </c>
      <c r="E202">
        <f t="shared" si="6"/>
        <v>2023</v>
      </c>
      <c r="F202" t="str">
        <f t="shared" si="8"/>
        <v>October</v>
      </c>
      <c r="G202">
        <f t="shared" si="7"/>
        <v>10</v>
      </c>
    </row>
    <row r="203" spans="4:7" x14ac:dyDescent="0.25">
      <c r="D203" s="3" t="s">
        <v>261</v>
      </c>
      <c r="E203">
        <f t="shared" si="6"/>
        <v>2024</v>
      </c>
      <c r="F203" t="str">
        <f t="shared" si="8"/>
        <v>October</v>
      </c>
      <c r="G203">
        <f t="shared" si="7"/>
        <v>10</v>
      </c>
    </row>
    <row r="204" spans="4:7" x14ac:dyDescent="0.25">
      <c r="D204" s="3" t="s">
        <v>135</v>
      </c>
      <c r="E204">
        <f t="shared" si="6"/>
        <v>2023</v>
      </c>
      <c r="F204" t="str">
        <f t="shared" si="8"/>
        <v>October</v>
      </c>
      <c r="G204">
        <f t="shared" si="7"/>
        <v>10</v>
      </c>
    </row>
    <row r="205" spans="4:7" x14ac:dyDescent="0.25">
      <c r="D205" s="3" t="s">
        <v>422</v>
      </c>
      <c r="E205">
        <f t="shared" si="6"/>
        <v>2024</v>
      </c>
      <c r="F205" t="str">
        <f t="shared" si="8"/>
        <v>October</v>
      </c>
      <c r="G205">
        <f t="shared" si="7"/>
        <v>10</v>
      </c>
    </row>
    <row r="206" spans="4:7" x14ac:dyDescent="0.25">
      <c r="D206" s="3" t="s">
        <v>586</v>
      </c>
      <c r="E206">
        <f t="shared" si="6"/>
        <v>2023</v>
      </c>
      <c r="F206" t="str">
        <f t="shared" si="8"/>
        <v>October</v>
      </c>
      <c r="G206">
        <f t="shared" si="7"/>
        <v>10</v>
      </c>
    </row>
    <row r="207" spans="4:7" x14ac:dyDescent="0.25">
      <c r="D207" s="3" t="s">
        <v>134</v>
      </c>
      <c r="E207">
        <f t="shared" si="6"/>
        <v>2024</v>
      </c>
      <c r="F207" t="str">
        <f t="shared" si="8"/>
        <v>October</v>
      </c>
      <c r="G207">
        <f t="shared" si="7"/>
        <v>10</v>
      </c>
    </row>
    <row r="208" spans="4:7" x14ac:dyDescent="0.25">
      <c r="D208" s="3" t="s">
        <v>468</v>
      </c>
      <c r="E208">
        <f t="shared" si="6"/>
        <v>2023</v>
      </c>
      <c r="F208" t="str">
        <f t="shared" si="8"/>
        <v>October</v>
      </c>
      <c r="G208">
        <f t="shared" si="7"/>
        <v>10</v>
      </c>
    </row>
    <row r="209" spans="4:7" x14ac:dyDescent="0.25">
      <c r="D209" s="3" t="s">
        <v>602</v>
      </c>
      <c r="E209">
        <f t="shared" si="6"/>
        <v>2024</v>
      </c>
      <c r="F209" t="str">
        <f t="shared" si="8"/>
        <v>October</v>
      </c>
      <c r="G209">
        <f t="shared" si="7"/>
        <v>10</v>
      </c>
    </row>
    <row r="210" spans="4:7" x14ac:dyDescent="0.25">
      <c r="D210" s="3" t="s">
        <v>239</v>
      </c>
      <c r="E210">
        <f t="shared" si="6"/>
        <v>2024</v>
      </c>
      <c r="F210" t="str">
        <f t="shared" si="8"/>
        <v>October</v>
      </c>
      <c r="G210">
        <f t="shared" si="7"/>
        <v>10</v>
      </c>
    </row>
    <row r="211" spans="4:7" x14ac:dyDescent="0.25">
      <c r="D211" s="3" t="s">
        <v>161</v>
      </c>
      <c r="E211">
        <f t="shared" si="6"/>
        <v>2023</v>
      </c>
      <c r="F211" t="str">
        <f t="shared" si="8"/>
        <v>October</v>
      </c>
      <c r="G211">
        <f t="shared" si="7"/>
        <v>10</v>
      </c>
    </row>
    <row r="212" spans="4:7" x14ac:dyDescent="0.25">
      <c r="D212" s="3" t="s">
        <v>150</v>
      </c>
      <c r="E212">
        <f t="shared" si="6"/>
        <v>2024</v>
      </c>
      <c r="F212" t="str">
        <f t="shared" si="8"/>
        <v>October</v>
      </c>
      <c r="G212">
        <f t="shared" si="7"/>
        <v>10</v>
      </c>
    </row>
    <row r="213" spans="4:7" x14ac:dyDescent="0.25">
      <c r="D213" s="3" t="s">
        <v>160</v>
      </c>
      <c r="E213">
        <f t="shared" si="6"/>
        <v>2023</v>
      </c>
      <c r="F213" t="str">
        <f t="shared" si="8"/>
        <v>October</v>
      </c>
      <c r="G213">
        <f t="shared" si="7"/>
        <v>10</v>
      </c>
    </row>
    <row r="214" spans="4:7" x14ac:dyDescent="0.25">
      <c r="D214" s="3" t="s">
        <v>264</v>
      </c>
      <c r="E214">
        <f t="shared" si="6"/>
        <v>2024</v>
      </c>
      <c r="F214" t="str">
        <f t="shared" si="8"/>
        <v>October</v>
      </c>
      <c r="G214">
        <f t="shared" si="7"/>
        <v>10</v>
      </c>
    </row>
    <row r="215" spans="4:7" x14ac:dyDescent="0.25">
      <c r="D215" s="3" t="s">
        <v>105</v>
      </c>
      <c r="E215">
        <f t="shared" si="6"/>
        <v>2024</v>
      </c>
      <c r="F215" t="str">
        <f t="shared" si="8"/>
        <v>October</v>
      </c>
      <c r="G215">
        <f t="shared" si="7"/>
        <v>10</v>
      </c>
    </row>
    <row r="216" spans="4:7" x14ac:dyDescent="0.25">
      <c r="D216" s="3" t="s">
        <v>331</v>
      </c>
      <c r="E216">
        <f t="shared" si="6"/>
        <v>2023</v>
      </c>
      <c r="F216" t="str">
        <f t="shared" si="8"/>
        <v>November</v>
      </c>
      <c r="G216">
        <f t="shared" si="7"/>
        <v>11</v>
      </c>
    </row>
    <row r="217" spans="4:7" x14ac:dyDescent="0.25">
      <c r="D217" s="3" t="s">
        <v>282</v>
      </c>
      <c r="E217">
        <f t="shared" si="6"/>
        <v>2023</v>
      </c>
      <c r="F217" t="str">
        <f t="shared" si="8"/>
        <v>November</v>
      </c>
      <c r="G217">
        <f t="shared" si="7"/>
        <v>11</v>
      </c>
    </row>
    <row r="218" spans="4:7" x14ac:dyDescent="0.25">
      <c r="D218" s="3" t="s">
        <v>259</v>
      </c>
      <c r="E218">
        <f t="shared" si="6"/>
        <v>2023</v>
      </c>
      <c r="F218" t="str">
        <f t="shared" si="8"/>
        <v>November</v>
      </c>
      <c r="G218">
        <f t="shared" si="7"/>
        <v>11</v>
      </c>
    </row>
    <row r="219" spans="4:7" x14ac:dyDescent="0.25">
      <c r="D219" s="3" t="s">
        <v>505</v>
      </c>
      <c r="E219">
        <f t="shared" si="6"/>
        <v>2024</v>
      </c>
      <c r="F219" t="str">
        <f t="shared" si="8"/>
        <v>November</v>
      </c>
      <c r="G219">
        <f t="shared" si="7"/>
        <v>11</v>
      </c>
    </row>
    <row r="220" spans="4:7" x14ac:dyDescent="0.25">
      <c r="D220" s="3" t="s">
        <v>555</v>
      </c>
      <c r="E220">
        <f t="shared" si="6"/>
        <v>2023</v>
      </c>
      <c r="F220" t="str">
        <f t="shared" si="8"/>
        <v>November</v>
      </c>
      <c r="G220">
        <f t="shared" si="7"/>
        <v>11</v>
      </c>
    </row>
    <row r="221" spans="4:7" x14ac:dyDescent="0.25">
      <c r="D221" s="3" t="s">
        <v>509</v>
      </c>
      <c r="E221">
        <f t="shared" si="6"/>
        <v>2024</v>
      </c>
      <c r="F221" t="str">
        <f t="shared" si="8"/>
        <v>November</v>
      </c>
      <c r="G221">
        <f t="shared" si="7"/>
        <v>11</v>
      </c>
    </row>
    <row r="222" spans="4:7" x14ac:dyDescent="0.25">
      <c r="D222" s="3" t="s">
        <v>577</v>
      </c>
      <c r="E222">
        <f t="shared" si="6"/>
        <v>2023</v>
      </c>
      <c r="F222" t="str">
        <f t="shared" si="8"/>
        <v>November</v>
      </c>
      <c r="G222">
        <f t="shared" si="7"/>
        <v>11</v>
      </c>
    </row>
    <row r="223" spans="4:7" x14ac:dyDescent="0.25">
      <c r="D223" s="3" t="s">
        <v>296</v>
      </c>
      <c r="E223">
        <f t="shared" si="6"/>
        <v>2024</v>
      </c>
      <c r="F223" t="str">
        <f t="shared" si="8"/>
        <v>November</v>
      </c>
      <c r="G223">
        <f t="shared" si="7"/>
        <v>11</v>
      </c>
    </row>
    <row r="224" spans="4:7" x14ac:dyDescent="0.25">
      <c r="D224" s="3" t="s">
        <v>460</v>
      </c>
      <c r="E224">
        <f t="shared" si="6"/>
        <v>2023</v>
      </c>
      <c r="F224" t="str">
        <f t="shared" si="8"/>
        <v>November</v>
      </c>
      <c r="G224">
        <f t="shared" si="7"/>
        <v>11</v>
      </c>
    </row>
    <row r="225" spans="4:7" x14ac:dyDescent="0.25">
      <c r="D225" s="3" t="s">
        <v>299</v>
      </c>
      <c r="E225">
        <f t="shared" si="6"/>
        <v>2024</v>
      </c>
      <c r="F225" t="str">
        <f t="shared" si="8"/>
        <v>November</v>
      </c>
      <c r="G225">
        <f t="shared" si="7"/>
        <v>11</v>
      </c>
    </row>
    <row r="226" spans="4:7" x14ac:dyDescent="0.25">
      <c r="D226" s="3" t="s">
        <v>455</v>
      </c>
      <c r="E226">
        <f t="shared" si="6"/>
        <v>2023</v>
      </c>
      <c r="F226" t="str">
        <f t="shared" si="8"/>
        <v>November</v>
      </c>
      <c r="G226">
        <f t="shared" si="7"/>
        <v>11</v>
      </c>
    </row>
    <row r="227" spans="4:7" x14ac:dyDescent="0.25">
      <c r="D227" s="3" t="s">
        <v>204</v>
      </c>
      <c r="E227">
        <f t="shared" si="6"/>
        <v>2024</v>
      </c>
      <c r="F227" t="str">
        <f t="shared" si="8"/>
        <v>November</v>
      </c>
      <c r="G227">
        <f t="shared" si="7"/>
        <v>11</v>
      </c>
    </row>
    <row r="228" spans="4:7" x14ac:dyDescent="0.25">
      <c r="D228" s="3" t="s">
        <v>269</v>
      </c>
      <c r="E228">
        <f t="shared" ref="E228:E237" si="9">YEAR(D228)</f>
        <v>2024</v>
      </c>
      <c r="F228" t="str">
        <f t="shared" si="8"/>
        <v>November</v>
      </c>
      <c r="G228">
        <f t="shared" ref="G228:G237" si="10">MONTH(D228)</f>
        <v>11</v>
      </c>
    </row>
    <row r="229" spans="4:7" x14ac:dyDescent="0.25">
      <c r="D229" s="3" t="s">
        <v>387</v>
      </c>
      <c r="E229">
        <f t="shared" si="9"/>
        <v>2023</v>
      </c>
      <c r="F229" t="str">
        <f t="shared" ref="F229:F237" si="11">TEXT(D229,"mmmm")</f>
        <v>November</v>
      </c>
      <c r="G229">
        <f t="shared" si="10"/>
        <v>11</v>
      </c>
    </row>
    <row r="230" spans="4:7" x14ac:dyDescent="0.25">
      <c r="D230" s="3" t="s">
        <v>286</v>
      </c>
      <c r="E230">
        <f t="shared" si="9"/>
        <v>2024</v>
      </c>
      <c r="F230" t="str">
        <f t="shared" si="11"/>
        <v>November</v>
      </c>
      <c r="G230">
        <f t="shared" si="10"/>
        <v>11</v>
      </c>
    </row>
    <row r="231" spans="4:7" x14ac:dyDescent="0.25">
      <c r="D231" s="3" t="s">
        <v>436</v>
      </c>
      <c r="E231">
        <f t="shared" si="9"/>
        <v>2023</v>
      </c>
      <c r="F231" t="str">
        <f t="shared" si="11"/>
        <v>November</v>
      </c>
      <c r="G231">
        <f t="shared" si="10"/>
        <v>11</v>
      </c>
    </row>
    <row r="232" spans="4:7" x14ac:dyDescent="0.25">
      <c r="D232" s="3" t="s">
        <v>589</v>
      </c>
      <c r="E232">
        <f t="shared" si="9"/>
        <v>2024</v>
      </c>
      <c r="F232" t="str">
        <f t="shared" si="11"/>
        <v>November</v>
      </c>
      <c r="G232">
        <f t="shared" si="10"/>
        <v>11</v>
      </c>
    </row>
    <row r="233" spans="4:7" x14ac:dyDescent="0.25">
      <c r="D233" s="3" t="s">
        <v>118</v>
      </c>
      <c r="E233">
        <f t="shared" si="9"/>
        <v>2024</v>
      </c>
      <c r="F233" t="str">
        <f t="shared" si="11"/>
        <v>November</v>
      </c>
      <c r="G233">
        <f t="shared" si="10"/>
        <v>11</v>
      </c>
    </row>
    <row r="234" spans="4:7" x14ac:dyDescent="0.25">
      <c r="D234" s="3" t="s">
        <v>523</v>
      </c>
      <c r="E234">
        <f t="shared" si="9"/>
        <v>2023</v>
      </c>
      <c r="F234" t="str">
        <f t="shared" si="11"/>
        <v>November</v>
      </c>
      <c r="G234">
        <f t="shared" si="10"/>
        <v>11</v>
      </c>
    </row>
    <row r="235" spans="4:7" x14ac:dyDescent="0.25">
      <c r="D235" s="3" t="s">
        <v>301</v>
      </c>
      <c r="E235">
        <f t="shared" si="9"/>
        <v>2024</v>
      </c>
      <c r="F235" t="str">
        <f t="shared" si="11"/>
        <v>November</v>
      </c>
      <c r="G235">
        <f t="shared" si="10"/>
        <v>11</v>
      </c>
    </row>
    <row r="236" spans="4:7" x14ac:dyDescent="0.25">
      <c r="D236" s="3" t="s">
        <v>184</v>
      </c>
      <c r="E236">
        <f t="shared" si="9"/>
        <v>2024</v>
      </c>
      <c r="F236" t="str">
        <f t="shared" si="11"/>
        <v>December</v>
      </c>
      <c r="G236">
        <f t="shared" si="10"/>
        <v>12</v>
      </c>
    </row>
    <row r="237" spans="4:7" x14ac:dyDescent="0.25">
      <c r="D237" s="3" t="s">
        <v>20</v>
      </c>
      <c r="E237">
        <f t="shared" si="9"/>
        <v>2023</v>
      </c>
      <c r="F237" t="str">
        <f t="shared" si="11"/>
        <v>December</v>
      </c>
      <c r="G237">
        <f t="shared" si="10"/>
        <v>12</v>
      </c>
    </row>
    <row r="238" spans="4:7" x14ac:dyDescent="0.25">
      <c r="D238" s="3" t="s">
        <v>111</v>
      </c>
    </row>
    <row r="239" spans="4:7" x14ac:dyDescent="0.25">
      <c r="D239" s="3" t="s">
        <v>413</v>
      </c>
    </row>
    <row r="240" spans="4:7" x14ac:dyDescent="0.25">
      <c r="D240" s="3" t="s">
        <v>152</v>
      </c>
    </row>
    <row r="241" spans="4:4" x14ac:dyDescent="0.25">
      <c r="D241" s="3" t="s">
        <v>418</v>
      </c>
    </row>
    <row r="242" spans="4:4" x14ac:dyDescent="0.25">
      <c r="D242" s="3" t="s">
        <v>560</v>
      </c>
    </row>
    <row r="243" spans="4:4" x14ac:dyDescent="0.25">
      <c r="D243" s="3" t="s">
        <v>73</v>
      </c>
    </row>
    <row r="244" spans="4:4" x14ac:dyDescent="0.25">
      <c r="D244" s="3" t="s">
        <v>196</v>
      </c>
    </row>
    <row r="245" spans="4:4" x14ac:dyDescent="0.25">
      <c r="D245" s="3" t="s">
        <v>343</v>
      </c>
    </row>
    <row r="246" spans="4:4" x14ac:dyDescent="0.25">
      <c r="D246" s="3" t="s">
        <v>167</v>
      </c>
    </row>
    <row r="247" spans="4:4" x14ac:dyDescent="0.25">
      <c r="D247" s="3" t="s">
        <v>263</v>
      </c>
    </row>
    <row r="248" spans="4:4" x14ac:dyDescent="0.25">
      <c r="D248" s="3" t="s">
        <v>367</v>
      </c>
    </row>
    <row r="249" spans="4:4" x14ac:dyDescent="0.25">
      <c r="D249" s="3" t="s">
        <v>369</v>
      </c>
    </row>
    <row r="250" spans="4:4" x14ac:dyDescent="0.25">
      <c r="D250" s="3" t="s">
        <v>441</v>
      </c>
    </row>
    <row r="251" spans="4:4" x14ac:dyDescent="0.25">
      <c r="D251" s="3" t="s">
        <v>447</v>
      </c>
    </row>
    <row r="252" spans="4:4" x14ac:dyDescent="0.25">
      <c r="D252" s="3" t="s">
        <v>419</v>
      </c>
    </row>
    <row r="253" spans="4:4" x14ac:dyDescent="0.25">
      <c r="D253" s="3" t="s">
        <v>514</v>
      </c>
    </row>
    <row r="254" spans="4:4" x14ac:dyDescent="0.25">
      <c r="D254" s="3" t="s">
        <v>544</v>
      </c>
    </row>
    <row r="255" spans="4:4" x14ac:dyDescent="0.25">
      <c r="D255" s="3" t="s">
        <v>352</v>
      </c>
    </row>
    <row r="256" spans="4:4" x14ac:dyDescent="0.25">
      <c r="D256" s="3" t="s">
        <v>266</v>
      </c>
    </row>
    <row r="257" spans="4:4" x14ac:dyDescent="0.25">
      <c r="D257" s="3" t="s">
        <v>397</v>
      </c>
    </row>
    <row r="258" spans="4:4" x14ac:dyDescent="0.25">
      <c r="D258" s="3" t="s">
        <v>88</v>
      </c>
    </row>
    <row r="259" spans="4:4" x14ac:dyDescent="0.25">
      <c r="D259" s="3" t="s">
        <v>467</v>
      </c>
    </row>
    <row r="260" spans="4:4" x14ac:dyDescent="0.25">
      <c r="D260" s="3" t="s">
        <v>125</v>
      </c>
    </row>
    <row r="261" spans="4:4" x14ac:dyDescent="0.25">
      <c r="D261" s="3" t="s">
        <v>270</v>
      </c>
    </row>
    <row r="262" spans="4:4" x14ac:dyDescent="0.25">
      <c r="D262" s="3" t="s">
        <v>241</v>
      </c>
    </row>
    <row r="263" spans="4:4" x14ac:dyDescent="0.25">
      <c r="D263" s="3" t="s">
        <v>398</v>
      </c>
    </row>
    <row r="264" spans="4:4" x14ac:dyDescent="0.25">
      <c r="D264" s="3" t="s">
        <v>524</v>
      </c>
    </row>
    <row r="265" spans="4:4" x14ac:dyDescent="0.25">
      <c r="D265" s="3" t="s">
        <v>219</v>
      </c>
    </row>
    <row r="266" spans="4:4" x14ac:dyDescent="0.25">
      <c r="D266" s="3" t="s">
        <v>313</v>
      </c>
    </row>
    <row r="267" spans="4:4" x14ac:dyDescent="0.25">
      <c r="D267" s="3" t="s">
        <v>515</v>
      </c>
    </row>
    <row r="268" spans="4:4" x14ac:dyDescent="0.25">
      <c r="D268" s="3" t="s">
        <v>149</v>
      </c>
    </row>
    <row r="269" spans="4:4" x14ac:dyDescent="0.25">
      <c r="D269" s="3" t="s">
        <v>500</v>
      </c>
    </row>
    <row r="270" spans="4:4" x14ac:dyDescent="0.25">
      <c r="D270" s="3" t="s">
        <v>279</v>
      </c>
    </row>
    <row r="271" spans="4:4" x14ac:dyDescent="0.25">
      <c r="D271" s="3" t="s">
        <v>44</v>
      </c>
    </row>
    <row r="272" spans="4:4" x14ac:dyDescent="0.25">
      <c r="D272" s="3" t="s">
        <v>356</v>
      </c>
    </row>
    <row r="273" spans="4:4" x14ac:dyDescent="0.25">
      <c r="D273" s="3" t="s">
        <v>381</v>
      </c>
    </row>
    <row r="274" spans="4:4" x14ac:dyDescent="0.25">
      <c r="D274" s="3" t="s">
        <v>106</v>
      </c>
    </row>
    <row r="275" spans="4:4" x14ac:dyDescent="0.25">
      <c r="D275" s="3" t="s">
        <v>411</v>
      </c>
    </row>
    <row r="276" spans="4:4" x14ac:dyDescent="0.25">
      <c r="D276" s="3" t="s">
        <v>437</v>
      </c>
    </row>
    <row r="277" spans="4:4" x14ac:dyDescent="0.25">
      <c r="D277" s="3" t="s">
        <v>230</v>
      </c>
    </row>
    <row r="278" spans="4:4" x14ac:dyDescent="0.25">
      <c r="D278" s="3" t="s">
        <v>626</v>
      </c>
    </row>
    <row r="279" spans="4:4" x14ac:dyDescent="0.25">
      <c r="D279" s="3" t="s">
        <v>366</v>
      </c>
    </row>
    <row r="280" spans="4:4" x14ac:dyDescent="0.25">
      <c r="D280" s="3" t="s">
        <v>314</v>
      </c>
    </row>
    <row r="281" spans="4:4" x14ac:dyDescent="0.25">
      <c r="D281" s="3" t="s">
        <v>371</v>
      </c>
    </row>
    <row r="282" spans="4:4" x14ac:dyDescent="0.25">
      <c r="D282" s="3" t="s">
        <v>131</v>
      </c>
    </row>
    <row r="283" spans="4:4" x14ac:dyDescent="0.25">
      <c r="D283" s="3" t="s">
        <v>581</v>
      </c>
    </row>
    <row r="284" spans="4:4" x14ac:dyDescent="0.25">
      <c r="D284" s="3" t="s">
        <v>453</v>
      </c>
    </row>
    <row r="285" spans="4:4" x14ac:dyDescent="0.25">
      <c r="D285" s="3" t="s">
        <v>640</v>
      </c>
    </row>
    <row r="286" spans="4:4" x14ac:dyDescent="0.25">
      <c r="D286" s="3" t="s">
        <v>274</v>
      </c>
    </row>
    <row r="287" spans="4:4" x14ac:dyDescent="0.25">
      <c r="D287" s="3" t="s">
        <v>388</v>
      </c>
    </row>
    <row r="288" spans="4:4" x14ac:dyDescent="0.25">
      <c r="D288" s="3" t="s">
        <v>424</v>
      </c>
    </row>
    <row r="289" spans="4:4" x14ac:dyDescent="0.25">
      <c r="D289" s="3" t="s">
        <v>415</v>
      </c>
    </row>
    <row r="290" spans="4:4" x14ac:dyDescent="0.25">
      <c r="D290" s="3" t="s">
        <v>351</v>
      </c>
    </row>
    <row r="291" spans="4:4" x14ac:dyDescent="0.25">
      <c r="D291" s="3" t="s">
        <v>592</v>
      </c>
    </row>
    <row r="292" spans="4:4" x14ac:dyDescent="0.25">
      <c r="D292" s="3" t="s">
        <v>498</v>
      </c>
    </row>
    <row r="293" spans="4:4" x14ac:dyDescent="0.25">
      <c r="D293" s="3" t="s">
        <v>439</v>
      </c>
    </row>
    <row r="294" spans="4:4" x14ac:dyDescent="0.25">
      <c r="D294" s="3" t="s">
        <v>611</v>
      </c>
    </row>
    <row r="295" spans="4:4" x14ac:dyDescent="0.25">
      <c r="D295" s="3" t="s">
        <v>462</v>
      </c>
    </row>
    <row r="296" spans="4:4" x14ac:dyDescent="0.25">
      <c r="D296" s="3" t="s">
        <v>635</v>
      </c>
    </row>
    <row r="297" spans="4:4" x14ac:dyDescent="0.25">
      <c r="D297" s="3" t="s">
        <v>306</v>
      </c>
    </row>
    <row r="298" spans="4:4" x14ac:dyDescent="0.25">
      <c r="D298" s="3" t="s">
        <v>340</v>
      </c>
    </row>
    <row r="299" spans="4:4" x14ac:dyDescent="0.25">
      <c r="D299" s="3" t="s">
        <v>268</v>
      </c>
    </row>
    <row r="300" spans="4:4" x14ac:dyDescent="0.25">
      <c r="D300" s="3" t="s">
        <v>199</v>
      </c>
    </row>
    <row r="301" spans="4:4" x14ac:dyDescent="0.25">
      <c r="D301" s="3" t="s">
        <v>185</v>
      </c>
    </row>
    <row r="302" spans="4:4" x14ac:dyDescent="0.25">
      <c r="D302" s="3" t="s">
        <v>382</v>
      </c>
    </row>
    <row r="303" spans="4:4" x14ac:dyDescent="0.25">
      <c r="D303" s="3" t="s">
        <v>633</v>
      </c>
    </row>
    <row r="304" spans="4:4" x14ac:dyDescent="0.25">
      <c r="D304" s="3" t="s">
        <v>310</v>
      </c>
    </row>
    <row r="305" spans="4:4" x14ac:dyDescent="0.25">
      <c r="D305" s="3" t="s">
        <v>425</v>
      </c>
    </row>
    <row r="306" spans="4:4" x14ac:dyDescent="0.25">
      <c r="D306" s="3" t="s">
        <v>344</v>
      </c>
    </row>
    <row r="307" spans="4:4" x14ac:dyDescent="0.25">
      <c r="D307" s="3" t="s">
        <v>466</v>
      </c>
    </row>
    <row r="308" spans="4:4" x14ac:dyDescent="0.25">
      <c r="D308" s="3" t="s">
        <v>435</v>
      </c>
    </row>
    <row r="309" spans="4:4" x14ac:dyDescent="0.25">
      <c r="D309" s="3" t="s">
        <v>512</v>
      </c>
    </row>
    <row r="310" spans="4:4" x14ac:dyDescent="0.25">
      <c r="D310" s="3" t="s">
        <v>355</v>
      </c>
    </row>
    <row r="311" spans="4:4" x14ac:dyDescent="0.25">
      <c r="D311" s="3" t="s">
        <v>174</v>
      </c>
    </row>
    <row r="312" spans="4:4" x14ac:dyDescent="0.25">
      <c r="D312" s="3" t="s">
        <v>162</v>
      </c>
    </row>
    <row r="313" spans="4:4" x14ac:dyDescent="0.25">
      <c r="D313" s="3" t="s">
        <v>205</v>
      </c>
    </row>
    <row r="314" spans="4:4" x14ac:dyDescent="0.25">
      <c r="D314" s="3" t="s">
        <v>80</v>
      </c>
    </row>
    <row r="315" spans="4:4" x14ac:dyDescent="0.25">
      <c r="D315" s="3" t="s">
        <v>360</v>
      </c>
    </row>
    <row r="316" spans="4:4" x14ac:dyDescent="0.25">
      <c r="D316" s="3" t="s">
        <v>347</v>
      </c>
    </row>
    <row r="317" spans="4:4" x14ac:dyDescent="0.25">
      <c r="D317" s="3" t="s">
        <v>638</v>
      </c>
    </row>
    <row r="318" spans="4:4" x14ac:dyDescent="0.25">
      <c r="D318" s="3" t="s">
        <v>342</v>
      </c>
    </row>
    <row r="319" spans="4:4" x14ac:dyDescent="0.25">
      <c r="D319" s="3" t="s">
        <v>165</v>
      </c>
    </row>
    <row r="320" spans="4:4" x14ac:dyDescent="0.25">
      <c r="D320" s="3" t="s">
        <v>257</v>
      </c>
    </row>
    <row r="321" spans="4:4" x14ac:dyDescent="0.25">
      <c r="D321" s="3" t="s">
        <v>417</v>
      </c>
    </row>
    <row r="322" spans="4:4" x14ac:dyDescent="0.25">
      <c r="D322" s="3" t="s">
        <v>126</v>
      </c>
    </row>
    <row r="323" spans="4:4" x14ac:dyDescent="0.25">
      <c r="D323" s="3" t="s">
        <v>339</v>
      </c>
    </row>
    <row r="324" spans="4:4" x14ac:dyDescent="0.25">
      <c r="D324" s="3" t="s">
        <v>452</v>
      </c>
    </row>
    <row r="325" spans="4:4" x14ac:dyDescent="0.25">
      <c r="D325" s="3" t="s">
        <v>267</v>
      </c>
    </row>
    <row r="326" spans="4:4" x14ac:dyDescent="0.25">
      <c r="D326" s="3" t="s">
        <v>291</v>
      </c>
    </row>
    <row r="327" spans="4:4" x14ac:dyDescent="0.25">
      <c r="D327" s="3" t="s">
        <v>632</v>
      </c>
    </row>
    <row r="328" spans="4:4" x14ac:dyDescent="0.25">
      <c r="D328" s="3" t="s">
        <v>511</v>
      </c>
    </row>
    <row r="329" spans="4:4" x14ac:dyDescent="0.25">
      <c r="D329" s="3" t="s">
        <v>191</v>
      </c>
    </row>
    <row r="330" spans="4:4" x14ac:dyDescent="0.25">
      <c r="D330" s="3" t="s">
        <v>370</v>
      </c>
    </row>
    <row r="331" spans="4:4" x14ac:dyDescent="0.25">
      <c r="D331" s="3" t="s">
        <v>438</v>
      </c>
    </row>
    <row r="332" spans="4:4" x14ac:dyDescent="0.25">
      <c r="D332" s="3" t="s">
        <v>333</v>
      </c>
    </row>
    <row r="333" spans="4:4" x14ac:dyDescent="0.25">
      <c r="D333" s="3" t="s">
        <v>311</v>
      </c>
    </row>
    <row r="334" spans="4:4" x14ac:dyDescent="0.25">
      <c r="D334" s="3" t="s">
        <v>99</v>
      </c>
    </row>
    <row r="335" spans="4:4" x14ac:dyDescent="0.25">
      <c r="D335" s="3" t="s">
        <v>434</v>
      </c>
    </row>
    <row r="336" spans="4:4" x14ac:dyDescent="0.25">
      <c r="D336" s="3" t="s">
        <v>303</v>
      </c>
    </row>
    <row r="337" spans="4:4" x14ac:dyDescent="0.25">
      <c r="D337" s="3" t="s">
        <v>481</v>
      </c>
    </row>
    <row r="338" spans="4:4" x14ac:dyDescent="0.25">
      <c r="D338" s="3" t="s">
        <v>187</v>
      </c>
    </row>
    <row r="339" spans="4:4" x14ac:dyDescent="0.25">
      <c r="D339" s="3" t="s">
        <v>298</v>
      </c>
    </row>
    <row r="340" spans="4:4" x14ac:dyDescent="0.25">
      <c r="D340" s="3" t="s">
        <v>574</v>
      </c>
    </row>
    <row r="341" spans="4:4" x14ac:dyDescent="0.25">
      <c r="D341" s="3" t="s">
        <v>402</v>
      </c>
    </row>
    <row r="342" spans="4:4" x14ac:dyDescent="0.25">
      <c r="D342" s="3" t="s">
        <v>613</v>
      </c>
    </row>
    <row r="343" spans="4:4" x14ac:dyDescent="0.25">
      <c r="D343" s="3" t="s">
        <v>66</v>
      </c>
    </row>
    <row r="344" spans="4:4" x14ac:dyDescent="0.25">
      <c r="D344" s="3" t="s">
        <v>206</v>
      </c>
    </row>
    <row r="345" spans="4:4" x14ac:dyDescent="0.25">
      <c r="D345" s="3" t="s">
        <v>140</v>
      </c>
    </row>
    <row r="346" spans="4:4" x14ac:dyDescent="0.25">
      <c r="D346" s="3" t="s">
        <v>464</v>
      </c>
    </row>
    <row r="347" spans="4:4" x14ac:dyDescent="0.25">
      <c r="D347" s="3" t="s">
        <v>458</v>
      </c>
    </row>
    <row r="348" spans="4:4" x14ac:dyDescent="0.25">
      <c r="D348" s="3" t="s">
        <v>248</v>
      </c>
    </row>
    <row r="349" spans="4:4" x14ac:dyDescent="0.25">
      <c r="D349" s="3" t="s">
        <v>193</v>
      </c>
    </row>
    <row r="350" spans="4:4" x14ac:dyDescent="0.25">
      <c r="D350" s="3" t="s">
        <v>116</v>
      </c>
    </row>
    <row r="351" spans="4:4" x14ac:dyDescent="0.25">
      <c r="D351" s="3" t="s">
        <v>304</v>
      </c>
    </row>
    <row r="352" spans="4:4" x14ac:dyDescent="0.25">
      <c r="D352" s="3" t="s">
        <v>526</v>
      </c>
    </row>
    <row r="353" spans="4:4" x14ac:dyDescent="0.25">
      <c r="D353" s="3" t="s">
        <v>529</v>
      </c>
    </row>
    <row r="354" spans="4:4" x14ac:dyDescent="0.25">
      <c r="D354" s="3" t="s">
        <v>561</v>
      </c>
    </row>
    <row r="355" spans="4:4" x14ac:dyDescent="0.25">
      <c r="D355" s="3" t="s">
        <v>288</v>
      </c>
    </row>
    <row r="356" spans="4:4" x14ac:dyDescent="0.25">
      <c r="D356" s="3" t="s">
        <v>583</v>
      </c>
    </row>
    <row r="357" spans="4:4" x14ac:dyDescent="0.25">
      <c r="D357" s="3" t="s">
        <v>192</v>
      </c>
    </row>
    <row r="358" spans="4:4" x14ac:dyDescent="0.25">
      <c r="D358" s="3" t="s">
        <v>238</v>
      </c>
    </row>
    <row r="359" spans="4:4" x14ac:dyDescent="0.25">
      <c r="D359" s="3" t="s">
        <v>208</v>
      </c>
    </row>
    <row r="360" spans="4:4" x14ac:dyDescent="0.25">
      <c r="D360" s="3" t="s">
        <v>567</v>
      </c>
    </row>
    <row r="361" spans="4:4" x14ac:dyDescent="0.25">
      <c r="D361" s="3" t="s">
        <v>137</v>
      </c>
    </row>
    <row r="362" spans="4:4" x14ac:dyDescent="0.25">
      <c r="D362" s="3" t="s">
        <v>484</v>
      </c>
    </row>
    <row r="363" spans="4:4" x14ac:dyDescent="0.25">
      <c r="D363" s="3" t="s">
        <v>186</v>
      </c>
    </row>
    <row r="364" spans="4:4" x14ac:dyDescent="0.25">
      <c r="D364" s="3" t="s">
        <v>323</v>
      </c>
    </row>
    <row r="365" spans="4:4" x14ac:dyDescent="0.25">
      <c r="D365" s="3" t="s">
        <v>129</v>
      </c>
    </row>
    <row r="366" spans="4:4" x14ac:dyDescent="0.25">
      <c r="D366" s="3" t="s">
        <v>488</v>
      </c>
    </row>
    <row r="367" spans="4:4" x14ac:dyDescent="0.25">
      <c r="D367" s="3" t="s">
        <v>614</v>
      </c>
    </row>
    <row r="368" spans="4:4" x14ac:dyDescent="0.25">
      <c r="D368" s="3" t="s">
        <v>543</v>
      </c>
    </row>
    <row r="369" spans="4:4" x14ac:dyDescent="0.25">
      <c r="D369" s="3" t="s">
        <v>189</v>
      </c>
    </row>
    <row r="370" spans="4:4" x14ac:dyDescent="0.25">
      <c r="D370" s="3" t="s">
        <v>210</v>
      </c>
    </row>
    <row r="371" spans="4:4" x14ac:dyDescent="0.25">
      <c r="D371" s="3" t="s">
        <v>188</v>
      </c>
    </row>
    <row r="372" spans="4:4" x14ac:dyDescent="0.25">
      <c r="D372" s="3" t="s">
        <v>520</v>
      </c>
    </row>
    <row r="373" spans="4:4" x14ac:dyDescent="0.25">
      <c r="D373" s="3" t="s">
        <v>429</v>
      </c>
    </row>
    <row r="374" spans="4:4" x14ac:dyDescent="0.25">
      <c r="D374" s="3" t="s">
        <v>619</v>
      </c>
    </row>
    <row r="375" spans="4:4" x14ac:dyDescent="0.25">
      <c r="D375" s="3" t="s">
        <v>153</v>
      </c>
    </row>
    <row r="376" spans="4:4" x14ac:dyDescent="0.25">
      <c r="D376" s="3" t="s">
        <v>579</v>
      </c>
    </row>
    <row r="377" spans="4:4" x14ac:dyDescent="0.25">
      <c r="D377" s="3" t="s">
        <v>596</v>
      </c>
    </row>
    <row r="378" spans="4:4" x14ac:dyDescent="0.25">
      <c r="D378" s="3" t="s">
        <v>168</v>
      </c>
    </row>
    <row r="379" spans="4:4" x14ac:dyDescent="0.25">
      <c r="D379" s="3" t="s">
        <v>95</v>
      </c>
    </row>
    <row r="380" spans="4:4" x14ac:dyDescent="0.25">
      <c r="D380" s="3" t="s">
        <v>546</v>
      </c>
    </row>
    <row r="381" spans="4:4" x14ac:dyDescent="0.25">
      <c r="D381" s="3" t="s">
        <v>332</v>
      </c>
    </row>
    <row r="382" spans="4:4" x14ac:dyDescent="0.25">
      <c r="D382" s="3" t="s">
        <v>457</v>
      </c>
    </row>
    <row r="383" spans="4:4" x14ac:dyDescent="0.25">
      <c r="D383" s="3" t="s">
        <v>141</v>
      </c>
    </row>
    <row r="384" spans="4:4" x14ac:dyDescent="0.25">
      <c r="D384" s="3" t="s">
        <v>480</v>
      </c>
    </row>
    <row r="385" spans="4:4" x14ac:dyDescent="0.25">
      <c r="D385" s="3" t="s">
        <v>620</v>
      </c>
    </row>
    <row r="386" spans="4:4" x14ac:dyDescent="0.25">
      <c r="D386" s="3" t="s">
        <v>443</v>
      </c>
    </row>
    <row r="387" spans="4:4" x14ac:dyDescent="0.25">
      <c r="D387" s="3" t="s">
        <v>173</v>
      </c>
    </row>
    <row r="388" spans="4:4" x14ac:dyDescent="0.25">
      <c r="D388" s="3" t="s">
        <v>376</v>
      </c>
    </row>
    <row r="389" spans="4:4" x14ac:dyDescent="0.25">
      <c r="D389" s="3" t="s">
        <v>404</v>
      </c>
    </row>
    <row r="390" spans="4:4" x14ac:dyDescent="0.25">
      <c r="D390" s="3" t="s">
        <v>359</v>
      </c>
    </row>
    <row r="391" spans="4:4" x14ac:dyDescent="0.25">
      <c r="D391" s="3" t="s">
        <v>432</v>
      </c>
    </row>
    <row r="392" spans="4:4" x14ac:dyDescent="0.25">
      <c r="D392" s="3" t="s">
        <v>372</v>
      </c>
    </row>
    <row r="393" spans="4:4" x14ac:dyDescent="0.25">
      <c r="D393" s="3" t="s">
        <v>163</v>
      </c>
    </row>
    <row r="394" spans="4:4" x14ac:dyDescent="0.25">
      <c r="D394" s="3" t="s">
        <v>365</v>
      </c>
    </row>
    <row r="395" spans="4:4" x14ac:dyDescent="0.25">
      <c r="D395" s="3" t="s">
        <v>410</v>
      </c>
    </row>
    <row r="396" spans="4:4" x14ac:dyDescent="0.25">
      <c r="D396" s="3" t="s">
        <v>249</v>
      </c>
    </row>
    <row r="397" spans="4:4" x14ac:dyDescent="0.25">
      <c r="D397" s="3" t="s">
        <v>201</v>
      </c>
    </row>
    <row r="398" spans="4:4" x14ac:dyDescent="0.25">
      <c r="D398" s="3" t="s">
        <v>593</v>
      </c>
    </row>
    <row r="399" spans="4:4" x14ac:dyDescent="0.25">
      <c r="D399" s="3" t="s">
        <v>601</v>
      </c>
    </row>
    <row r="400" spans="4:4" x14ac:dyDescent="0.25">
      <c r="D400" s="3" t="s">
        <v>427</v>
      </c>
    </row>
    <row r="401" spans="4:4" x14ac:dyDescent="0.25">
      <c r="D401" s="3" t="s">
        <v>610</v>
      </c>
    </row>
    <row r="402" spans="4:4" x14ac:dyDescent="0.25">
      <c r="D402" s="3" t="s">
        <v>148</v>
      </c>
    </row>
    <row r="403" spans="4:4" x14ac:dyDescent="0.25">
      <c r="D403" s="3" t="s">
        <v>159</v>
      </c>
    </row>
    <row r="404" spans="4:4" x14ac:dyDescent="0.25">
      <c r="D404" s="3" t="s">
        <v>636</v>
      </c>
    </row>
    <row r="405" spans="4:4" x14ac:dyDescent="0.25">
      <c r="D405" s="3" t="s">
        <v>225</v>
      </c>
    </row>
    <row r="406" spans="4:4" x14ac:dyDescent="0.25">
      <c r="D406" s="3" t="s">
        <v>227</v>
      </c>
    </row>
    <row r="407" spans="4:4" x14ac:dyDescent="0.25">
      <c r="D407" s="3" t="s">
        <v>224</v>
      </c>
    </row>
    <row r="408" spans="4:4" x14ac:dyDescent="0.25">
      <c r="D408" s="3" t="s">
        <v>507</v>
      </c>
    </row>
    <row r="409" spans="4:4" x14ac:dyDescent="0.25">
      <c r="D409" s="3" t="s">
        <v>384</v>
      </c>
    </row>
    <row r="410" spans="4:4" x14ac:dyDescent="0.25">
      <c r="D410" s="3" t="s">
        <v>486</v>
      </c>
    </row>
    <row r="411" spans="4:4" x14ac:dyDescent="0.25">
      <c r="D411" s="3" t="s">
        <v>588</v>
      </c>
    </row>
    <row r="412" spans="4:4" x14ac:dyDescent="0.25">
      <c r="D412" s="3" t="s">
        <v>353</v>
      </c>
    </row>
    <row r="413" spans="4:4" x14ac:dyDescent="0.25">
      <c r="D413" s="3" t="s">
        <v>233</v>
      </c>
    </row>
    <row r="414" spans="4:4" x14ac:dyDescent="0.25">
      <c r="D414" s="3" t="s">
        <v>565</v>
      </c>
    </row>
    <row r="415" spans="4:4" x14ac:dyDescent="0.25">
      <c r="D415" s="3" t="s">
        <v>164</v>
      </c>
    </row>
    <row r="416" spans="4:4" x14ac:dyDescent="0.25">
      <c r="D416" s="3" t="s">
        <v>608</v>
      </c>
    </row>
    <row r="417" spans="4:4" x14ac:dyDescent="0.25">
      <c r="D417" s="3" t="s">
        <v>318</v>
      </c>
    </row>
    <row r="418" spans="4:4" x14ac:dyDescent="0.25">
      <c r="D418" s="3" t="s">
        <v>151</v>
      </c>
    </row>
    <row r="419" spans="4:4" x14ac:dyDescent="0.25">
      <c r="D419" s="3" t="s">
        <v>242</v>
      </c>
    </row>
    <row r="420" spans="4:4" x14ac:dyDescent="0.25">
      <c r="D420" s="3" t="s">
        <v>537</v>
      </c>
    </row>
    <row r="421" spans="4:4" x14ac:dyDescent="0.25">
      <c r="D421" s="3" t="s">
        <v>403</v>
      </c>
    </row>
    <row r="422" spans="4:4" x14ac:dyDescent="0.25">
      <c r="D422" s="3" t="s">
        <v>492</v>
      </c>
    </row>
    <row r="423" spans="4:4" x14ac:dyDescent="0.25">
      <c r="D423" s="3" t="s">
        <v>541</v>
      </c>
    </row>
    <row r="424" spans="4:4" x14ac:dyDescent="0.25">
      <c r="D424" s="3" t="s">
        <v>405</v>
      </c>
    </row>
    <row r="425" spans="4:4" x14ac:dyDescent="0.25">
      <c r="D425" s="3" t="s">
        <v>328</v>
      </c>
    </row>
    <row r="426" spans="4:4" x14ac:dyDescent="0.25">
      <c r="D426" s="3" t="s">
        <v>533</v>
      </c>
    </row>
    <row r="427" spans="4:4" x14ac:dyDescent="0.25">
      <c r="D427" s="3" t="s">
        <v>358</v>
      </c>
    </row>
    <row r="428" spans="4:4" x14ac:dyDescent="0.25">
      <c r="D428" s="3" t="s">
        <v>190</v>
      </c>
    </row>
    <row r="429" spans="4:4" x14ac:dyDescent="0.25">
      <c r="D429" s="3" t="s">
        <v>169</v>
      </c>
    </row>
    <row r="430" spans="4:4" x14ac:dyDescent="0.25">
      <c r="D430" s="3" t="s">
        <v>407</v>
      </c>
    </row>
    <row r="431" spans="4:4" x14ac:dyDescent="0.25">
      <c r="D431" s="3" t="s">
        <v>517</v>
      </c>
    </row>
    <row r="432" spans="4:4" x14ac:dyDescent="0.25">
      <c r="D432" s="3" t="s">
        <v>513</v>
      </c>
    </row>
    <row r="433" spans="4:4" x14ac:dyDescent="0.25">
      <c r="D433" s="3" t="s">
        <v>463</v>
      </c>
    </row>
    <row r="434" spans="4:4" x14ac:dyDescent="0.25">
      <c r="D434" s="3" t="s">
        <v>295</v>
      </c>
    </row>
    <row r="435" spans="4:4" x14ac:dyDescent="0.25">
      <c r="D435" s="3" t="s">
        <v>276</v>
      </c>
    </row>
    <row r="436" spans="4:4" x14ac:dyDescent="0.25">
      <c r="D436" s="3" t="s">
        <v>138</v>
      </c>
    </row>
    <row r="437" spans="4:4" x14ac:dyDescent="0.25">
      <c r="D437" s="3" t="s">
        <v>489</v>
      </c>
    </row>
    <row r="438" spans="4:4" x14ac:dyDescent="0.25">
      <c r="D438" s="3" t="s">
        <v>536</v>
      </c>
    </row>
    <row r="439" spans="4:4" x14ac:dyDescent="0.25">
      <c r="D439" s="3" t="s">
        <v>357</v>
      </c>
    </row>
    <row r="440" spans="4:4" x14ac:dyDescent="0.25">
      <c r="D440" s="3" t="s">
        <v>354</v>
      </c>
    </row>
    <row r="441" spans="4:4" x14ac:dyDescent="0.25">
      <c r="D441" s="3" t="s">
        <v>391</v>
      </c>
    </row>
    <row r="442" spans="4:4" x14ac:dyDescent="0.25">
      <c r="D442" s="3" t="s">
        <v>597</v>
      </c>
    </row>
    <row r="443" spans="4:4" x14ac:dyDescent="0.25">
      <c r="D443" s="3" t="s">
        <v>176</v>
      </c>
    </row>
    <row r="444" spans="4:4" x14ac:dyDescent="0.25">
      <c r="D444" s="3" t="s">
        <v>128</v>
      </c>
    </row>
    <row r="445" spans="4:4" x14ac:dyDescent="0.25">
      <c r="D445" s="3" t="s">
        <v>218</v>
      </c>
    </row>
    <row r="446" spans="4:4" x14ac:dyDescent="0.25">
      <c r="D446" s="3" t="s">
        <v>172</v>
      </c>
    </row>
    <row r="447" spans="4:4" x14ac:dyDescent="0.25">
      <c r="D447" s="3" t="s">
        <v>522</v>
      </c>
    </row>
    <row r="448" spans="4:4" x14ac:dyDescent="0.25">
      <c r="D448" s="3" t="s">
        <v>420</v>
      </c>
    </row>
    <row r="449" spans="4:4" x14ac:dyDescent="0.25">
      <c r="D449" s="3" t="s">
        <v>406</v>
      </c>
    </row>
    <row r="450" spans="4:4" x14ac:dyDescent="0.25">
      <c r="D450" s="3" t="s">
        <v>623</v>
      </c>
    </row>
    <row r="451" spans="4:4" x14ac:dyDescent="0.25">
      <c r="D451" s="3" t="s">
        <v>146</v>
      </c>
    </row>
    <row r="452" spans="4:4" x14ac:dyDescent="0.25">
      <c r="D452" s="3" t="s">
        <v>521</v>
      </c>
    </row>
    <row r="453" spans="4:4" x14ac:dyDescent="0.25">
      <c r="D453" s="3" t="s">
        <v>476</v>
      </c>
    </row>
    <row r="454" spans="4:4" x14ac:dyDescent="0.25">
      <c r="D454" s="3" t="s">
        <v>563</v>
      </c>
    </row>
    <row r="455" spans="4:4" x14ac:dyDescent="0.25">
      <c r="D455" s="3" t="s">
        <v>316</v>
      </c>
    </row>
    <row r="456" spans="4:4" x14ac:dyDescent="0.25">
      <c r="D456" s="3" t="s">
        <v>287</v>
      </c>
    </row>
    <row r="457" spans="4:4" x14ac:dyDescent="0.25">
      <c r="D457" s="3" t="s">
        <v>375</v>
      </c>
    </row>
    <row r="458" spans="4:4" x14ac:dyDescent="0.25">
      <c r="D458" s="3" t="s">
        <v>493</v>
      </c>
    </row>
    <row r="459" spans="4:4" x14ac:dyDescent="0.25">
      <c r="D459" s="3" t="s">
        <v>600</v>
      </c>
    </row>
    <row r="460" spans="4:4" x14ac:dyDescent="0.25">
      <c r="D460" s="3" t="s">
        <v>472</v>
      </c>
    </row>
    <row r="461" spans="4:4" x14ac:dyDescent="0.25">
      <c r="D461" s="3" t="s">
        <v>516</v>
      </c>
    </row>
    <row r="462" spans="4:4" x14ac:dyDescent="0.25">
      <c r="D462" s="3" t="s">
        <v>265</v>
      </c>
    </row>
    <row r="463" spans="4:4" x14ac:dyDescent="0.25">
      <c r="D463" s="3" t="s">
        <v>348</v>
      </c>
    </row>
    <row r="464" spans="4:4" x14ac:dyDescent="0.25">
      <c r="D464" s="3" t="s">
        <v>244</v>
      </c>
    </row>
    <row r="465" spans="4:4" x14ac:dyDescent="0.25">
      <c r="D465" s="3" t="s">
        <v>281</v>
      </c>
    </row>
    <row r="466" spans="4:4" x14ac:dyDescent="0.25">
      <c r="D466" s="3" t="s">
        <v>631</v>
      </c>
    </row>
    <row r="467" spans="4:4" x14ac:dyDescent="0.25">
      <c r="D467" s="3" t="s">
        <v>217</v>
      </c>
    </row>
    <row r="468" spans="4:4" x14ac:dyDescent="0.25">
      <c r="D468" s="3" t="s">
        <v>527</v>
      </c>
    </row>
    <row r="469" spans="4:4" x14ac:dyDescent="0.25">
      <c r="D469" s="3" t="s">
        <v>336</v>
      </c>
    </row>
    <row r="470" spans="4:4" x14ac:dyDescent="0.25">
      <c r="D470" s="3" t="s">
        <v>349</v>
      </c>
    </row>
    <row r="471" spans="4:4" x14ac:dyDescent="0.25">
      <c r="D471" s="3" t="s">
        <v>503</v>
      </c>
    </row>
    <row r="472" spans="4:4" x14ac:dyDescent="0.25">
      <c r="D472" s="3" t="s">
        <v>305</v>
      </c>
    </row>
    <row r="473" spans="4:4" x14ac:dyDescent="0.25">
      <c r="D473" s="3" t="s">
        <v>223</v>
      </c>
    </row>
    <row r="474" spans="4:4" x14ac:dyDescent="0.25">
      <c r="D474" s="3" t="s">
        <v>338</v>
      </c>
    </row>
    <row r="475" spans="4:4" x14ac:dyDescent="0.25">
      <c r="D475" s="3" t="s">
        <v>616</v>
      </c>
    </row>
    <row r="476" spans="4:4" x14ac:dyDescent="0.25">
      <c r="D476" s="3" t="s">
        <v>133</v>
      </c>
    </row>
    <row r="477" spans="4:4" x14ac:dyDescent="0.25">
      <c r="D477" s="3" t="s">
        <v>634</v>
      </c>
    </row>
    <row r="478" spans="4:4" x14ac:dyDescent="0.25">
      <c r="D478" s="3" t="s">
        <v>530</v>
      </c>
    </row>
    <row r="479" spans="4:4" x14ac:dyDescent="0.25">
      <c r="D479" s="3" t="s">
        <v>604</v>
      </c>
    </row>
    <row r="480" spans="4:4" x14ac:dyDescent="0.25">
      <c r="D480" s="3" t="s">
        <v>215</v>
      </c>
    </row>
    <row r="481" spans="4:4" x14ac:dyDescent="0.25">
      <c r="D481" s="3" t="s">
        <v>300</v>
      </c>
    </row>
    <row r="482" spans="4:4" x14ac:dyDescent="0.25">
      <c r="D482" s="3" t="s">
        <v>598</v>
      </c>
    </row>
    <row r="483" spans="4:4" x14ac:dyDescent="0.25">
      <c r="D483" s="3" t="s">
        <v>247</v>
      </c>
    </row>
    <row r="484" spans="4:4" x14ac:dyDescent="0.25">
      <c r="D484" s="3" t="s">
        <v>559</v>
      </c>
    </row>
    <row r="485" spans="4:4" x14ac:dyDescent="0.25">
      <c r="D485" s="3" t="s">
        <v>618</v>
      </c>
    </row>
    <row r="486" spans="4:4" x14ac:dyDescent="0.25">
      <c r="D486" s="3" t="s">
        <v>421</v>
      </c>
    </row>
    <row r="487" spans="4:4" x14ac:dyDescent="0.25">
      <c r="D487" s="3" t="s">
        <v>297</v>
      </c>
    </row>
    <row r="488" spans="4:4" x14ac:dyDescent="0.25">
      <c r="D488" s="3" t="s">
        <v>545</v>
      </c>
    </row>
    <row r="489" spans="4:4" x14ac:dyDescent="0.25">
      <c r="D489" s="3" t="s">
        <v>399</v>
      </c>
    </row>
    <row r="490" spans="4:4" x14ac:dyDescent="0.25">
      <c r="D490" s="3" t="s">
        <v>576</v>
      </c>
    </row>
    <row r="491" spans="4:4" x14ac:dyDescent="0.25">
      <c r="D491" s="3" t="s">
        <v>456</v>
      </c>
    </row>
    <row r="492" spans="4:4" x14ac:dyDescent="0.25">
      <c r="D492" s="3" t="s">
        <v>621</v>
      </c>
    </row>
    <row r="493" spans="4:4" x14ac:dyDescent="0.25">
      <c r="D493" s="3" t="s">
        <v>124</v>
      </c>
    </row>
    <row r="494" spans="4:4" x14ac:dyDescent="0.25">
      <c r="D494" s="3" t="s">
        <v>117</v>
      </c>
    </row>
    <row r="495" spans="4:4" x14ac:dyDescent="0.25">
      <c r="D495" s="3" t="s">
        <v>122</v>
      </c>
    </row>
    <row r="496" spans="4:4" x14ac:dyDescent="0.25">
      <c r="D496" s="3" t="s">
        <v>132</v>
      </c>
    </row>
    <row r="497" spans="4:4" x14ac:dyDescent="0.25">
      <c r="D497" s="3" t="s">
        <v>195</v>
      </c>
    </row>
    <row r="498" spans="4:4" x14ac:dyDescent="0.25">
      <c r="D498" s="3" t="s">
        <v>346</v>
      </c>
    </row>
    <row r="499" spans="4:4" x14ac:dyDescent="0.25">
      <c r="D499" s="3" t="s">
        <v>461</v>
      </c>
    </row>
    <row r="500" spans="4:4" x14ac:dyDescent="0.25">
      <c r="D500" s="3" t="s">
        <v>595</v>
      </c>
    </row>
    <row r="501" spans="4:4" x14ac:dyDescent="0.25">
      <c r="D501" s="3" t="s">
        <v>572</v>
      </c>
    </row>
    <row r="502" spans="4:4" x14ac:dyDescent="0.25">
      <c r="D502" s="3" t="s">
        <v>127</v>
      </c>
    </row>
    <row r="503" spans="4:4" x14ac:dyDescent="0.25">
      <c r="D503" s="3" t="s">
        <v>260</v>
      </c>
    </row>
    <row r="504" spans="4:4" x14ac:dyDescent="0.25">
      <c r="D504" s="3" t="s">
        <v>556</v>
      </c>
    </row>
    <row r="505" spans="4:4" x14ac:dyDescent="0.25">
      <c r="D505" s="3" t="s">
        <v>629</v>
      </c>
    </row>
    <row r="506" spans="4:4" x14ac:dyDescent="0.25">
      <c r="D506" s="3" t="s">
        <v>607</v>
      </c>
    </row>
    <row r="507" spans="4:4" x14ac:dyDescent="0.25">
      <c r="D507" s="3" t="s">
        <v>552</v>
      </c>
    </row>
    <row r="508" spans="4:4" x14ac:dyDescent="0.25">
      <c r="D508" s="3" t="s">
        <v>548</v>
      </c>
    </row>
    <row r="509" spans="4:4" x14ac:dyDescent="0.25">
      <c r="D509" s="3" t="s">
        <v>383</v>
      </c>
    </row>
    <row r="510" spans="4:4" x14ac:dyDescent="0.25">
      <c r="D510" s="3" t="s">
        <v>628</v>
      </c>
    </row>
    <row r="511" spans="4:4" x14ac:dyDescent="0.25">
      <c r="D511" s="3" t="s">
        <v>378</v>
      </c>
    </row>
    <row r="512" spans="4:4" x14ac:dyDescent="0.25">
      <c r="D512" s="3" t="s">
        <v>325</v>
      </c>
    </row>
    <row r="513" spans="4:4" x14ac:dyDescent="0.25">
      <c r="D513" s="3" t="s">
        <v>307</v>
      </c>
    </row>
    <row r="514" spans="4:4" x14ac:dyDescent="0.25">
      <c r="D514" s="3" t="s">
        <v>538</v>
      </c>
    </row>
    <row r="515" spans="4:4" x14ac:dyDescent="0.25">
      <c r="D515" s="3" t="s">
        <v>144</v>
      </c>
    </row>
    <row r="516" spans="4:4" x14ac:dyDescent="0.25">
      <c r="D516" s="3" t="s">
        <v>570</v>
      </c>
    </row>
    <row r="517" spans="4:4" x14ac:dyDescent="0.25">
      <c r="D517" s="3" t="s">
        <v>531</v>
      </c>
    </row>
    <row r="518" spans="4:4" x14ac:dyDescent="0.25">
      <c r="D518" s="3" t="s">
        <v>554</v>
      </c>
    </row>
    <row r="519" spans="4:4" x14ac:dyDescent="0.25">
      <c r="D519" s="3" t="s">
        <v>490</v>
      </c>
    </row>
    <row r="520" spans="4:4" x14ac:dyDescent="0.25">
      <c r="D520" s="3" t="s">
        <v>86</v>
      </c>
    </row>
    <row r="521" spans="4:4" x14ac:dyDescent="0.25">
      <c r="D521" s="3" t="s">
        <v>182</v>
      </c>
    </row>
    <row r="522" spans="4:4" x14ac:dyDescent="0.25">
      <c r="D522" s="3" t="s">
        <v>90</v>
      </c>
    </row>
    <row r="523" spans="4:4" x14ac:dyDescent="0.25">
      <c r="D523" s="3" t="s">
        <v>319</v>
      </c>
    </row>
    <row r="524" spans="4:4" x14ac:dyDescent="0.25">
      <c r="D524" s="3" t="s">
        <v>334</v>
      </c>
    </row>
    <row r="525" spans="4:4" x14ac:dyDescent="0.25">
      <c r="D525" s="3" t="s">
        <v>114</v>
      </c>
    </row>
    <row r="526" spans="4:4" x14ac:dyDescent="0.25">
      <c r="D526" s="3" t="s">
        <v>442</v>
      </c>
    </row>
    <row r="527" spans="4:4" x14ac:dyDescent="0.25">
      <c r="D527" s="3" t="s">
        <v>226</v>
      </c>
    </row>
    <row r="528" spans="4:4" x14ac:dyDescent="0.25">
      <c r="D528" s="3" t="s">
        <v>495</v>
      </c>
    </row>
    <row r="529" spans="4:4" x14ac:dyDescent="0.25">
      <c r="D529" s="3" t="s">
        <v>590</v>
      </c>
    </row>
    <row r="530" spans="4:4" x14ac:dyDescent="0.25">
      <c r="D530" s="3" t="s">
        <v>222</v>
      </c>
    </row>
    <row r="531" spans="4:4" x14ac:dyDescent="0.25">
      <c r="D531" s="3" t="s">
        <v>203</v>
      </c>
    </row>
    <row r="532" spans="4:4" x14ac:dyDescent="0.25">
      <c r="D532" s="3" t="s">
        <v>599</v>
      </c>
    </row>
    <row r="533" spans="4:4" x14ac:dyDescent="0.25">
      <c r="D533" s="3" t="s">
        <v>170</v>
      </c>
    </row>
    <row r="534" spans="4:4" x14ac:dyDescent="0.25">
      <c r="D534" s="3" t="s">
        <v>229</v>
      </c>
    </row>
    <row r="535" spans="4:4" x14ac:dyDescent="0.25">
      <c r="D535" s="3" t="s">
        <v>445</v>
      </c>
    </row>
    <row r="536" spans="4:4" x14ac:dyDescent="0.25">
      <c r="D536" s="3" t="s">
        <v>557</v>
      </c>
    </row>
    <row r="537" spans="4:4" x14ac:dyDescent="0.25">
      <c r="D537" s="3" t="s">
        <v>194</v>
      </c>
    </row>
    <row r="538" spans="4:4" x14ac:dyDescent="0.25">
      <c r="D538" s="3" t="s">
        <v>408</v>
      </c>
    </row>
    <row r="539" spans="4:4" x14ac:dyDescent="0.25">
      <c r="D539" s="3" t="s">
        <v>584</v>
      </c>
    </row>
    <row r="540" spans="4:4" x14ac:dyDescent="0.25">
      <c r="D540" s="3" t="s">
        <v>386</v>
      </c>
    </row>
    <row r="541" spans="4:4" x14ac:dyDescent="0.25">
      <c r="D541" s="3" t="s">
        <v>540</v>
      </c>
    </row>
    <row r="542" spans="4:4" x14ac:dyDescent="0.25">
      <c r="D542" s="3" t="s">
        <v>496</v>
      </c>
    </row>
    <row r="543" spans="4:4" x14ac:dyDescent="0.25">
      <c r="D543" s="3" t="s">
        <v>642</v>
      </c>
    </row>
    <row r="544" spans="4:4" x14ac:dyDescent="0.25">
      <c r="D544" s="3" t="s">
        <v>377</v>
      </c>
    </row>
    <row r="545" spans="4:4" x14ac:dyDescent="0.25">
      <c r="D545" s="3" t="s">
        <v>446</v>
      </c>
    </row>
    <row r="546" spans="4:4" x14ac:dyDescent="0.25">
      <c r="D546" s="3" t="s">
        <v>585</v>
      </c>
    </row>
    <row r="547" spans="4:4" x14ac:dyDescent="0.25">
      <c r="D547" s="3" t="s">
        <v>568</v>
      </c>
    </row>
    <row r="548" spans="4:4" x14ac:dyDescent="0.25">
      <c r="D548" s="3" t="s">
        <v>315</v>
      </c>
    </row>
    <row r="549" spans="4:4" x14ac:dyDescent="0.25">
      <c r="D549" s="3" t="s">
        <v>175</v>
      </c>
    </row>
    <row r="550" spans="4:4" x14ac:dyDescent="0.25">
      <c r="D550" s="3" t="s">
        <v>71</v>
      </c>
    </row>
    <row r="551" spans="4:4" x14ac:dyDescent="0.25">
      <c r="D551" s="3" t="s">
        <v>573</v>
      </c>
    </row>
    <row r="552" spans="4:4" x14ac:dyDescent="0.25">
      <c r="D552" s="3" t="s">
        <v>97</v>
      </c>
    </row>
    <row r="553" spans="4:4" x14ac:dyDescent="0.25">
      <c r="D553" s="3" t="s">
        <v>510</v>
      </c>
    </row>
    <row r="554" spans="4:4" x14ac:dyDescent="0.25">
      <c r="D554" s="3" t="s">
        <v>110</v>
      </c>
    </row>
    <row r="555" spans="4:4" x14ac:dyDescent="0.25">
      <c r="D555" s="3" t="s">
        <v>575</v>
      </c>
    </row>
    <row r="556" spans="4:4" x14ac:dyDescent="0.25">
      <c r="D556" s="3" t="s">
        <v>451</v>
      </c>
    </row>
    <row r="557" spans="4:4" x14ac:dyDescent="0.25">
      <c r="D557" s="3" t="s">
        <v>566</v>
      </c>
    </row>
    <row r="558" spans="4:4" x14ac:dyDescent="0.25">
      <c r="D558" s="3" t="s">
        <v>197</v>
      </c>
    </row>
    <row r="559" spans="4:4" x14ac:dyDescent="0.25">
      <c r="D559" s="3" t="s">
        <v>385</v>
      </c>
    </row>
    <row r="560" spans="4:4" x14ac:dyDescent="0.25">
      <c r="D560" s="3" t="s">
        <v>254</v>
      </c>
    </row>
    <row r="561" spans="4:4" x14ac:dyDescent="0.25">
      <c r="D561" s="3" t="s">
        <v>207</v>
      </c>
    </row>
    <row r="562" spans="4:4" x14ac:dyDescent="0.25">
      <c r="D562" s="3" t="s">
        <v>469</v>
      </c>
    </row>
    <row r="563" spans="4:4" x14ac:dyDescent="0.25">
      <c r="D563" s="3" t="s">
        <v>571</v>
      </c>
    </row>
    <row r="564" spans="4:4" x14ac:dyDescent="0.25">
      <c r="D564" s="3" t="s">
        <v>627</v>
      </c>
    </row>
    <row r="565" spans="4:4" x14ac:dyDescent="0.25">
      <c r="D565" s="3" t="s">
        <v>525</v>
      </c>
    </row>
    <row r="566" spans="4:4" x14ac:dyDescent="0.25">
      <c r="D566" s="3" t="s">
        <v>553</v>
      </c>
    </row>
    <row r="567" spans="4:4" x14ac:dyDescent="0.25">
      <c r="D567" s="3" t="s">
        <v>147</v>
      </c>
    </row>
    <row r="568" spans="4:4" x14ac:dyDescent="0.25">
      <c r="D568" s="3" t="s">
        <v>308</v>
      </c>
    </row>
    <row r="569" spans="4:4" x14ac:dyDescent="0.25">
      <c r="D569" s="3" t="s">
        <v>345</v>
      </c>
    </row>
    <row r="570" spans="4:4" x14ac:dyDescent="0.25">
      <c r="D570" s="3" t="s">
        <v>491</v>
      </c>
    </row>
    <row r="571" spans="4:4" x14ac:dyDescent="0.25">
      <c r="D571" s="3" t="s">
        <v>374</v>
      </c>
    </row>
    <row r="572" spans="4:4" x14ac:dyDescent="0.25">
      <c r="D572" s="3" t="s">
        <v>532</v>
      </c>
    </row>
    <row r="573" spans="4:4" x14ac:dyDescent="0.25">
      <c r="D573" s="3" t="s">
        <v>243</v>
      </c>
    </row>
    <row r="574" spans="4:4" x14ac:dyDescent="0.25">
      <c r="D574" s="3" t="s">
        <v>302</v>
      </c>
    </row>
    <row r="575" spans="4:4" x14ac:dyDescent="0.25">
      <c r="D575" s="3" t="s">
        <v>85</v>
      </c>
    </row>
    <row r="576" spans="4:4" x14ac:dyDescent="0.25">
      <c r="D576" s="3" t="s">
        <v>166</v>
      </c>
    </row>
    <row r="577" spans="4:4" x14ac:dyDescent="0.25">
      <c r="D577" s="3" t="s">
        <v>578</v>
      </c>
    </row>
    <row r="578" spans="4:4" x14ac:dyDescent="0.25">
      <c r="D578" s="3" t="s">
        <v>262</v>
      </c>
    </row>
    <row r="579" spans="4:4" x14ac:dyDescent="0.25">
      <c r="D579" s="3" t="s">
        <v>379</v>
      </c>
    </row>
    <row r="580" spans="4:4" x14ac:dyDescent="0.25">
      <c r="D580" s="3" t="s">
        <v>547</v>
      </c>
    </row>
    <row r="581" spans="4:4" x14ac:dyDescent="0.25">
      <c r="D581" s="3" t="s">
        <v>200</v>
      </c>
    </row>
    <row r="582" spans="4:4" x14ac:dyDescent="0.25">
      <c r="D582" s="3" t="s">
        <v>112</v>
      </c>
    </row>
    <row r="583" spans="4:4" x14ac:dyDescent="0.25">
      <c r="D583" s="3" t="s">
        <v>228</v>
      </c>
    </row>
    <row r="584" spans="4:4" x14ac:dyDescent="0.25">
      <c r="D584" s="3" t="s">
        <v>256</v>
      </c>
    </row>
    <row r="585" spans="4:4" x14ac:dyDescent="0.25">
      <c r="D585" s="3" t="s">
        <v>528</v>
      </c>
    </row>
    <row r="586" spans="4:4" x14ac:dyDescent="0.25">
      <c r="D586" s="3" t="s">
        <v>609</v>
      </c>
    </row>
    <row r="587" spans="4:4" x14ac:dyDescent="0.25">
      <c r="D587" s="3" t="s">
        <v>641</v>
      </c>
    </row>
    <row r="588" spans="4:4" x14ac:dyDescent="0.25">
      <c r="D588" s="3" t="s">
        <v>273</v>
      </c>
    </row>
    <row r="589" spans="4:4" x14ac:dyDescent="0.25">
      <c r="D589" s="3" t="s">
        <v>625</v>
      </c>
    </row>
    <row r="590" spans="4:4" x14ac:dyDescent="0.25">
      <c r="D590" s="3" t="s">
        <v>502</v>
      </c>
    </row>
    <row r="591" spans="4:4" x14ac:dyDescent="0.25">
      <c r="D591" s="3" t="s">
        <v>272</v>
      </c>
    </row>
    <row r="592" spans="4:4" x14ac:dyDescent="0.25">
      <c r="D592" s="3" t="s">
        <v>412</v>
      </c>
    </row>
    <row r="593" spans="4:4" x14ac:dyDescent="0.25">
      <c r="D593" s="3" t="s">
        <v>483</v>
      </c>
    </row>
    <row r="594" spans="4:4" x14ac:dyDescent="0.25">
      <c r="D594" s="3" t="s">
        <v>78</v>
      </c>
    </row>
    <row r="595" spans="4:4" x14ac:dyDescent="0.25">
      <c r="D595" s="3" t="s">
        <v>143</v>
      </c>
    </row>
    <row r="596" spans="4:4" x14ac:dyDescent="0.25">
      <c r="D596" s="3" t="s">
        <v>320</v>
      </c>
    </row>
    <row r="597" spans="4:4" x14ac:dyDescent="0.25">
      <c r="D597" s="3" t="s">
        <v>644</v>
      </c>
    </row>
  </sheetData>
  <mergeCells count="7">
    <mergeCell ref="D33:E33"/>
    <mergeCell ref="H1:I1"/>
    <mergeCell ref="J11:K11"/>
    <mergeCell ref="A1:F1"/>
    <mergeCell ref="A11:B11"/>
    <mergeCell ref="D11:E11"/>
    <mergeCell ref="G11:H11"/>
  </mergeCells>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T15"/>
  <sheetViews>
    <sheetView showGridLines="0" tabSelected="1" zoomScale="85" zoomScaleNormal="85" workbookViewId="0">
      <selection activeCell="S14" sqref="S14"/>
    </sheetView>
  </sheetViews>
  <sheetFormatPr defaultColWidth="12.7109375" defaultRowHeight="20.100000000000001" customHeight="1" x14ac:dyDescent="0.25"/>
  <sheetData>
    <row r="15" spans="20:20" ht="20.100000000000001" customHeight="1" x14ac:dyDescent="0.25">
      <c r="T15" t="s">
        <v>664</v>
      </c>
    </row>
  </sheetData>
  <pageMargins left="0.7" right="0.7" top="0.75" bottom="0.75" header="0.3" footer="0.3"/>
  <pageSetup orientation="portrait" r:id="rId1"/>
  <headerFooter scaleWithDoc="0" alignWithMargins="0"/>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F81FBE-D969-4233-A3A3-C538557EFA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Divyansh Mevada</cp:lastModifiedBy>
  <dcterms:created xsi:type="dcterms:W3CDTF">2026-07-07T06:26:18Z</dcterms:created>
  <dcterms:modified xsi:type="dcterms:W3CDTF">2026-08-16T15:49:58Z</dcterms:modified>
</cp:coreProperties>
</file>