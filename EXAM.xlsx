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DC50\Desktop\Divyansh\Excel Work\"/>
    </mc:Choice>
  </mc:AlternateContent>
  <xr:revisionPtr revIDLastSave="0" documentId="8_{65271C7A-F0CB-43D9-BCB2-36BEC626570B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Questions (2)" sheetId="7" r:id="rId1"/>
    <sheet name="Product_Master" sheetId="3" r:id="rId2"/>
    <sheet name="Sales_Data" sheetId="2" r:id="rId3"/>
    <sheet name="Questions" sheetId="5" r:id="rId4"/>
    <sheet name="Instructions" sheetId="1" r:id="rId5"/>
    <sheet name="Student_Mark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4" i="5" l="1" a="1"/>
  <c r="J104" i="5" s="1"/>
  <c r="J105" i="5" a="1"/>
  <c r="J105" i="5"/>
  <c r="J106" i="5" a="1"/>
  <c r="J106" i="5"/>
  <c r="J107" i="5" a="1"/>
  <c r="J107" i="5" s="1"/>
  <c r="J108" i="5" a="1"/>
  <c r="J108" i="5"/>
  <c r="J109" i="5" a="1"/>
  <c r="J109" i="5"/>
  <c r="D115" i="5"/>
  <c r="C115" i="5"/>
  <c r="B116" i="5"/>
  <c r="B117" i="5"/>
  <c r="B118" i="5"/>
  <c r="B119" i="5"/>
  <c r="B120" i="5"/>
  <c r="B115" i="5"/>
  <c r="K104" i="5" a="1"/>
  <c r="K104" i="5" s="1"/>
  <c r="I83" i="5"/>
  <c r="I82" i="5"/>
  <c r="I81" i="5"/>
  <c r="I80" i="5"/>
  <c r="I79" i="5"/>
  <c r="I78" i="5"/>
  <c r="H78" i="5" a="1"/>
  <c r="I68" i="5"/>
  <c r="I69" i="5"/>
  <c r="I70" i="5"/>
  <c r="J70" i="5" s="1"/>
  <c r="I71" i="5"/>
  <c r="I72" i="5"/>
  <c r="I67" i="5"/>
  <c r="J72" i="5"/>
  <c r="K72" i="5" s="1"/>
  <c r="H67" i="5" a="1"/>
  <c r="O56" i="5"/>
  <c r="N55" i="5"/>
  <c r="N56" i="5"/>
  <c r="N57" i="5"/>
  <c r="N58" i="5"/>
  <c r="N59" i="5"/>
  <c r="N60" i="5"/>
  <c r="M55" i="5" a="1"/>
  <c r="M55" i="5" s="1"/>
  <c r="B81" i="7"/>
  <c r="C54" i="7"/>
  <c r="B45" i="7" a="1"/>
  <c r="B45" i="7" s="1"/>
  <c r="C58" i="7" s="1"/>
  <c r="J32" i="7"/>
  <c r="B89" i="5"/>
  <c r="H2" i="2" a="1"/>
  <c r="H2" i="2" s="1"/>
  <c r="B45" i="5" a="1"/>
  <c r="B45" i="5" s="1"/>
  <c r="J32" i="5"/>
  <c r="O55" i="5" l="1"/>
  <c r="J82" i="5"/>
  <c r="K82" i="5" s="1"/>
  <c r="H67" i="5"/>
  <c r="J67" i="5" s="1"/>
  <c r="J68" i="5"/>
  <c r="K68" i="5" s="1"/>
  <c r="O60" i="5"/>
  <c r="O59" i="5"/>
  <c r="J81" i="5"/>
  <c r="K81" i="5" s="1"/>
  <c r="O58" i="5"/>
  <c r="K70" i="5"/>
  <c r="O57" i="5"/>
  <c r="J83" i="5"/>
  <c r="K83" i="5" s="1"/>
  <c r="J79" i="5"/>
  <c r="K79" i="5" s="1"/>
  <c r="H78" i="5"/>
  <c r="J80" i="5"/>
  <c r="K80" i="5"/>
  <c r="J71" i="5"/>
  <c r="K71" i="5" s="1"/>
  <c r="J69" i="5"/>
  <c r="K69" i="5" s="1"/>
  <c r="K67" i="5" l="1"/>
  <c r="J78" i="5"/>
  <c r="K78" i="5" s="1"/>
  <c r="K8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<sst xmlns="http://schemas.openxmlformats.org/spreadsheetml/2006/main" count="333" uniqueCount="107">
  <si>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</si>
  <si>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</si>
  <si>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</si>
  <si>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</si>
  <si>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</si>
  <si>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</si>
  <si>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</si>
  <si>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</si>
  <si>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</si>
  <si>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</si>
  <si>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</si>
  <si>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</si>
  <si>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</si>
  <si>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</si>
  <si>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</si>
  <si>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</si>
  <si>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</si>
  <si>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</si>
  <si>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</si>
  <si>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</si>
  <si>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</si>
  <si>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</si>
  <si>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</si>
  <si>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</si>
  <si>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</si>
  <si>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</si>
  <si>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</si>
  <si>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</si>
  <si>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</si>
  <si>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</si>
  <si>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</si>
  <si>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</si>
  <si>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</si>
  <si>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</si>
  <si>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</si>
  <si>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</si>
  <si>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</si>
  <si>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</si>
  <si>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</si>
  <si>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</si>
  <si>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</si>
  <si>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</si>
  <si>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</si>
  <si>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</si>
  <si>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</si>
  <si>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</si>
  <si>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</si>
  <si>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</si>
  <si>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</si>
  <si>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</si>
  <si>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</si>
  <si>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</si>
  <si>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</si>
  <si>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</si>
  <si>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</si>
  <si>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</si>
  <si>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</si>
  <si>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</si>
  <si>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</si>
  <si>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</si>
  <si>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</si>
  <si>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</si>
  <si>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</si>
  <si>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</si>
  <si>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</si>
  <si>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</si>
  <si>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</si>
  <si>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</si>
  <si>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</si>
  <si>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</si>
  <si>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</si>
  <si>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</si>
  <si>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</si>
  <si>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Answers </t>
  </si>
  <si>
    <t xml:space="preserve">Q1: </t>
  </si>
  <si>
    <t>Total sales</t>
  </si>
  <si>
    <t xml:space="preserve">Q2: </t>
  </si>
  <si>
    <t>Calculate GST Amount using VLOOKUP from Product_Master.</t>
  </si>
  <si>
    <t>Q3:</t>
  </si>
  <si>
    <t>Find Final Amount payable (Total Sales + GST).</t>
  </si>
  <si>
    <t>Q4:</t>
  </si>
  <si>
    <t>Find Grand Total of Final Amount.</t>
  </si>
  <si>
    <t>Final Amount :</t>
  </si>
  <si>
    <t xml:space="preserve">Final Total </t>
  </si>
  <si>
    <t>Q5:</t>
  </si>
  <si>
    <t>Count total number of orders using COUNTA.</t>
  </si>
  <si>
    <t>Total orders</t>
  </si>
  <si>
    <t>Q6:</t>
  </si>
  <si>
    <t>Find Region-wise total sales using SUMIF.</t>
  </si>
  <si>
    <t>Q7:</t>
  </si>
  <si>
    <t>Price</t>
  </si>
  <si>
    <t>With Gst</t>
  </si>
  <si>
    <t>GST Amount</t>
  </si>
  <si>
    <t>Final Payable Amount</t>
  </si>
  <si>
    <t>GRAND TOTAL</t>
  </si>
  <si>
    <t>Use IF to classify Quantity as High (&gt;3) or Low (&lt;=3).</t>
  </si>
  <si>
    <t>Region wise</t>
  </si>
  <si>
    <t>IF &gt; 3</t>
  </si>
  <si>
    <t>IF&lt;=3</t>
  </si>
  <si>
    <t>Q8:</t>
  </si>
  <si>
    <t>Find the maximum and minimum Final Amount.</t>
  </si>
  <si>
    <t>MAX</t>
  </si>
  <si>
    <t>MIN</t>
  </si>
  <si>
    <t>Q9:</t>
  </si>
  <si>
    <t>Extract month name from Sales_Date.</t>
  </si>
  <si>
    <t>Months</t>
  </si>
  <si>
    <t>Q10: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</si>
</sst>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3A711181-90E0-47DA-9FD2-37C93193C1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0CCF-787D-447E-B06A-600B7B116596}">
  <dimension ref="A1:L92"/>
  <sheetViews>
    <sheetView topLeftCell="A49" workbookViewId="0">
      <selection activeCell="B63" sqref="B63"/>
    </sheetView>
  </sheetViews>
  <sheetFormatPr defaultRowHeight="14.5" x14ac:dyDescent="0.35"/>
  <cols>
    <col min="2" max="2" width="20.6328125" customWidth="1"/>
  </cols>
  <sheetData>
    <row r="1" spans="1:10" x14ac:dyDescent="0.35">
      <c r="A1" t="s">
        <v>42</v>
      </c>
      <c r="J1">
        <v>2</v>
      </c>
    </row>
    <row r="2" spans="1:10" x14ac:dyDescent="0.35">
      <c r="A2" t="s">
        <v>43</v>
      </c>
      <c r="J2">
        <v>2</v>
      </c>
    </row>
    <row r="3" spans="1:10" x14ac:dyDescent="0.35">
      <c r="A3" t="s">
        <v>44</v>
      </c>
      <c r="J3">
        <v>2</v>
      </c>
    </row>
    <row r="4" spans="1:10" x14ac:dyDescent="0.35">
      <c r="A4" t="s">
        <v>45</v>
      </c>
      <c r="J4">
        <v>2</v>
      </c>
    </row>
    <row r="5" spans="1:10" x14ac:dyDescent="0.35">
      <c r="A5" t="s">
        <v>46</v>
      </c>
      <c r="J5">
        <v>2</v>
      </c>
    </row>
    <row r="6" spans="1:10" x14ac:dyDescent="0.35">
      <c r="A6" t="s">
        <v>47</v>
      </c>
      <c r="J6">
        <v>2</v>
      </c>
    </row>
    <row r="7" spans="1:10" x14ac:dyDescent="0.35">
      <c r="A7" t="s">
        <v>48</v>
      </c>
      <c r="J7">
        <v>2</v>
      </c>
    </row>
    <row r="8" spans="1:10" x14ac:dyDescent="0.35">
      <c r="A8" t="s">
        <v>49</v>
      </c>
      <c r="J8">
        <v>2</v>
      </c>
    </row>
    <row r="9" spans="1:10" x14ac:dyDescent="0.35">
      <c r="A9" t="s">
        <v>50</v>
      </c>
      <c r="J9">
        <v>2</v>
      </c>
    </row>
    <row r="10" spans="1:10" x14ac:dyDescent="0.35">
      <c r="A10" t="s">
        <v>51</v>
      </c>
      <c r="J10">
        <v>2</v>
      </c>
    </row>
    <row r="11" spans="1:10" x14ac:dyDescent="0.35">
      <c r="A11" t="s">
        <v>52</v>
      </c>
      <c r="J11">
        <v>2</v>
      </c>
    </row>
    <row r="12" spans="1:10" x14ac:dyDescent="0.35">
      <c r="A12" t="s">
        <v>53</v>
      </c>
      <c r="J12">
        <v>2</v>
      </c>
    </row>
    <row r="13" spans="1:10" x14ac:dyDescent="0.35">
      <c r="A13" t="s">
        <v>54</v>
      </c>
      <c r="J13">
        <v>2</v>
      </c>
    </row>
    <row r="14" spans="1:10" x14ac:dyDescent="0.35">
      <c r="A14" t="s">
        <v>55</v>
      </c>
      <c r="J14">
        <v>2</v>
      </c>
    </row>
    <row r="15" spans="1:10" x14ac:dyDescent="0.35">
      <c r="A15" t="s">
        <v>56</v>
      </c>
      <c r="J15">
        <v>2</v>
      </c>
    </row>
    <row r="16" spans="1:10" x14ac:dyDescent="0.35">
      <c r="A16" t="s">
        <v>57</v>
      </c>
      <c r="J16">
        <v>2</v>
      </c>
    </row>
    <row r="17" spans="1:10" x14ac:dyDescent="0.35">
      <c r="A17" t="s">
        <v>58</v>
      </c>
      <c r="J17">
        <v>2</v>
      </c>
    </row>
    <row r="18" spans="1:10" x14ac:dyDescent="0.35">
      <c r="A18" t="s">
        <v>59</v>
      </c>
      <c r="J18">
        <v>2</v>
      </c>
    </row>
    <row r="19" spans="1:10" x14ac:dyDescent="0.35">
      <c r="A19" t="s">
        <v>60</v>
      </c>
      <c r="J19">
        <v>2</v>
      </c>
    </row>
    <row r="20" spans="1:10" x14ac:dyDescent="0.35">
      <c r="A20" t="s">
        <v>61</v>
      </c>
      <c r="J20">
        <v>2</v>
      </c>
    </row>
    <row r="21" spans="1:10" x14ac:dyDescent="0.35">
      <c r="A21" t="s">
        <v>62</v>
      </c>
      <c r="J21">
        <v>2</v>
      </c>
    </row>
    <row r="22" spans="1:10" x14ac:dyDescent="0.35">
      <c r="A22" t="s">
        <v>63</v>
      </c>
      <c r="J22">
        <v>2</v>
      </c>
    </row>
    <row r="23" spans="1:10" x14ac:dyDescent="0.35">
      <c r="A23" t="s">
        <v>64</v>
      </c>
      <c r="J23">
        <v>2</v>
      </c>
    </row>
    <row r="24" spans="1:10" x14ac:dyDescent="0.35">
      <c r="A24" t="s">
        <v>65</v>
      </c>
      <c r="J24">
        <v>2</v>
      </c>
    </row>
    <row r="25" spans="1:10" x14ac:dyDescent="0.35">
      <c r="A25" t="s">
        <v>66</v>
      </c>
      <c r="J25">
        <v>2</v>
      </c>
    </row>
    <row r="26" spans="1:10" x14ac:dyDescent="0.35">
      <c r="A26" t="s">
        <v>67</v>
      </c>
      <c r="J26">
        <v>2</v>
      </c>
    </row>
    <row r="27" spans="1:10" x14ac:dyDescent="0.35">
      <c r="A27" t="s">
        <v>68</v>
      </c>
      <c r="J27">
        <v>2</v>
      </c>
    </row>
    <row r="28" spans="1:10" x14ac:dyDescent="0.35">
      <c r="A28" t="s">
        <v>69</v>
      </c>
      <c r="J28">
        <v>2</v>
      </c>
    </row>
    <row r="29" spans="1:10" x14ac:dyDescent="0.35">
      <c r="A29" t="s">
        <v>70</v>
      </c>
      <c r="J29">
        <v>2</v>
      </c>
    </row>
    <row r="30" spans="1:10" x14ac:dyDescent="0.35">
      <c r="A30" t="s">
        <v>71</v>
      </c>
      <c r="J30">
        <v>2</v>
      </c>
    </row>
    <row r="32" spans="1:10" x14ac:dyDescent="0.35">
      <c r="J32">
        <f>SUM(J1:J30)</f>
        <v>60</v>
      </c>
    </row>
    <row r="37" spans="1:12" ht="15" thickBot="1" x14ac:dyDescent="0.4"/>
    <row r="38" spans="1:12" x14ac:dyDescent="0.35">
      <c r="F38" s="1" t="s">
        <v>73</v>
      </c>
      <c r="G38" s="2"/>
      <c r="H38" s="2"/>
      <c r="I38" s="2"/>
      <c r="J38" s="2"/>
      <c r="K38" s="2"/>
      <c r="L38" s="3"/>
    </row>
    <row r="39" spans="1:12" ht="15" thickBot="1" x14ac:dyDescent="0.4">
      <c r="F39" s="4"/>
      <c r="G39" s="5"/>
      <c r="H39" s="5"/>
      <c r="I39" s="5"/>
      <c r="J39" s="5"/>
      <c r="K39" s="5"/>
      <c r="L39" s="6"/>
    </row>
    <row r="42" spans="1:12" x14ac:dyDescent="0.35">
      <c r="A42" t="s">
        <v>74</v>
      </c>
      <c r="B42" t="s">
        <v>42</v>
      </c>
    </row>
    <row r="43" spans="1:12" ht="15" thickBot="1" x14ac:dyDescent="0.4"/>
    <row r="44" spans="1:12" ht="16" thickBot="1" x14ac:dyDescent="0.4">
      <c r="B44" s="9" t="s">
        <v>75</v>
      </c>
    </row>
    <row r="45" spans="1:12" ht="15.5" x14ac:dyDescent="0.35">
      <c r="B45" s="7" cm="1">
        <f t="array" ref="B45:B50">Sales_Data!E2:E7*Sales_Data!F2:F7</f>
        <v>90000</v>
      </c>
    </row>
    <row r="46" spans="1:12" ht="15.5" x14ac:dyDescent="0.35">
      <c r="B46" s="8">
        <v>75000</v>
      </c>
    </row>
    <row r="47" spans="1:12" ht="15.5" x14ac:dyDescent="0.35">
      <c r="B47" s="8">
        <v>54000</v>
      </c>
    </row>
    <row r="48" spans="1:12" ht="15.5" x14ac:dyDescent="0.35">
      <c r="B48" s="8">
        <v>45000</v>
      </c>
    </row>
    <row r="49" spans="1:3" ht="15.5" x14ac:dyDescent="0.35">
      <c r="B49" s="8">
        <v>60000</v>
      </c>
    </row>
    <row r="50" spans="1:3" ht="15.5" x14ac:dyDescent="0.35">
      <c r="B50" s="8">
        <v>90000</v>
      </c>
    </row>
    <row r="52" spans="1:3" x14ac:dyDescent="0.35">
      <c r="A52" t="s">
        <v>76</v>
      </c>
      <c r="B52" t="s">
        <v>77</v>
      </c>
    </row>
    <row r="53" spans="1:3" x14ac:dyDescent="0.35">
      <c r="C53" s="10"/>
    </row>
    <row r="54" spans="1:3" x14ac:dyDescent="0.35">
      <c r="B54" t="s">
        <v>13</v>
      </c>
      <c r="C54">
        <f>VLOOKUP(B54,Product_Master!A1:C4,3)</f>
        <v>18</v>
      </c>
    </row>
    <row r="56" spans="1:3" x14ac:dyDescent="0.35">
      <c r="A56" t="s">
        <v>78</v>
      </c>
      <c r="B56" t="s">
        <v>79</v>
      </c>
    </row>
    <row r="58" spans="1:3" x14ac:dyDescent="0.35">
      <c r="B58" t="s">
        <v>82</v>
      </c>
      <c r="C58">
        <f>SUM(_xlfn.ANCHORARRAY(B45))</f>
        <v>414000</v>
      </c>
    </row>
    <row r="60" spans="1:3" x14ac:dyDescent="0.35">
      <c r="A60" t="s">
        <v>7</v>
      </c>
      <c r="B60" t="s">
        <v>90</v>
      </c>
      <c r="C60" t="s">
        <v>29</v>
      </c>
    </row>
    <row r="61" spans="1:3" x14ac:dyDescent="0.35">
      <c r="A61" t="s">
        <v>13</v>
      </c>
      <c r="B61">
        <v>45000</v>
      </c>
      <c r="C61">
        <v>18</v>
      </c>
    </row>
    <row r="62" spans="1:3" x14ac:dyDescent="0.35">
      <c r="A62" t="s">
        <v>17</v>
      </c>
      <c r="B62">
        <v>15000</v>
      </c>
      <c r="C62">
        <v>12</v>
      </c>
    </row>
    <row r="63" spans="1:3" x14ac:dyDescent="0.35">
      <c r="A63" t="s">
        <v>21</v>
      </c>
      <c r="C63">
        <v>12</v>
      </c>
    </row>
    <row r="67" spans="1:2" x14ac:dyDescent="0.35">
      <c r="A67" t="s">
        <v>80</v>
      </c>
      <c r="B67" t="s">
        <v>81</v>
      </c>
    </row>
    <row r="78" spans="1:2" x14ac:dyDescent="0.35">
      <c r="A78" t="s">
        <v>84</v>
      </c>
      <c r="B78" t="s">
        <v>85</v>
      </c>
    </row>
    <row r="80" spans="1:2" x14ac:dyDescent="0.35">
      <c r="B80" t="s">
        <v>86</v>
      </c>
    </row>
    <row r="81" spans="1:2" x14ac:dyDescent="0.35">
      <c r="B81">
        <f>COUNTA(Sales_Data!A2:A7)</f>
        <v>6</v>
      </c>
    </row>
    <row r="83" spans="1:2" x14ac:dyDescent="0.35">
      <c r="A83" t="s">
        <v>87</v>
      </c>
      <c r="B83" t="s">
        <v>88</v>
      </c>
    </row>
    <row r="92" spans="1:2" x14ac:dyDescent="0.35">
      <c r="A92" t="s">
        <v>89</v>
      </c>
      <c r="B92" t="s">
        <v>48</v>
      </c>
    </row>
  </sheetData>
  <mergeCells count="1">
    <mergeCell ref="F38:L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5" x14ac:dyDescent="0.35"/>
  <cols>
    <col min="2" max="2" width="9.7265625" bestFit="1" customWidth="1"/>
  </cols>
  <sheetData>
    <row r="1" spans="1:3" x14ac:dyDescent="0.35">
      <c r="A1" t="s">
        <v>7</v>
      </c>
      <c r="B1" t="s">
        <v>28</v>
      </c>
      <c r="C1" t="s">
        <v>29</v>
      </c>
    </row>
    <row r="2" spans="1:3" x14ac:dyDescent="0.35">
      <c r="A2" t="s">
        <v>13</v>
      </c>
      <c r="B2" t="s">
        <v>30</v>
      </c>
      <c r="C2">
        <v>18</v>
      </c>
    </row>
    <row r="3" spans="1:3" x14ac:dyDescent="0.35">
      <c r="A3" t="s">
        <v>17</v>
      </c>
      <c r="B3" t="s">
        <v>30</v>
      </c>
      <c r="C3">
        <v>12</v>
      </c>
    </row>
    <row r="4" spans="1:3" x14ac:dyDescent="0.3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sqref="A1:H7"/>
    </sheetView>
  </sheetViews>
  <sheetFormatPr defaultRowHeight="14.5" x14ac:dyDescent="0.35"/>
  <cols>
    <col min="1" max="1" width="8.54296875" bestFit="1" customWidth="1"/>
    <col min="2" max="2" width="6.453125" bestFit="1" customWidth="1"/>
    <col min="3" max="3" width="10.81640625" bestFit="1" customWidth="1"/>
    <col min="4" max="4" width="7.26953125" bestFit="1" customWidth="1"/>
    <col min="5" max="5" width="9.54296875" bestFit="1" customWidth="1"/>
    <col min="6" max="6" width="9.26953125" bestFit="1" customWidth="1"/>
    <col min="7" max="7" width="10.08984375" bestFit="1" customWidth="1"/>
    <col min="8" max="8" width="9.6328125" bestFit="1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75</v>
      </c>
      <c r="I1" t="s">
        <v>83</v>
      </c>
    </row>
    <row r="2" spans="1:9" x14ac:dyDescent="0.3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 cm="1">
        <f t="array" ref="H2:H7">E2:E7*F2:F7</f>
        <v>90000</v>
      </c>
    </row>
    <row r="3" spans="1:9" x14ac:dyDescent="0.3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v>75000</v>
      </c>
    </row>
    <row r="4" spans="1:9" x14ac:dyDescent="0.3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v>54000</v>
      </c>
    </row>
    <row r="5" spans="1:9" x14ac:dyDescent="0.3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v>45000</v>
      </c>
    </row>
    <row r="6" spans="1:9" x14ac:dyDescent="0.3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v>60000</v>
      </c>
    </row>
    <row r="7" spans="1:9" x14ac:dyDescent="0.3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v>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5"/>
  <sheetViews>
    <sheetView tabSelected="1" topLeftCell="A125" zoomScale="87" workbookViewId="0">
      <selection activeCell="D135" sqref="D135"/>
    </sheetView>
  </sheetViews>
  <sheetFormatPr defaultRowHeight="14.5" x14ac:dyDescent="0.35"/>
  <cols>
    <col min="2" max="2" width="20.6328125" customWidth="1"/>
    <col min="3" max="3" width="14.36328125" bestFit="1" customWidth="1"/>
    <col min="4" max="4" width="10.453125" bestFit="1" customWidth="1"/>
    <col min="5" max="5" width="9.6328125" bestFit="1" customWidth="1"/>
    <col min="6" max="6" width="19.08984375" bestFit="1" customWidth="1"/>
    <col min="7" max="7" width="10.08984375" bestFit="1" customWidth="1"/>
    <col min="8" max="8" width="10.81640625" bestFit="1" customWidth="1"/>
    <col min="9" max="9" width="9.81640625" bestFit="1" customWidth="1"/>
    <col min="10" max="10" width="12.7265625" bestFit="1" customWidth="1"/>
    <col min="11" max="11" width="19" bestFit="1" customWidth="1"/>
    <col min="12" max="12" width="10.08984375" bestFit="1" customWidth="1"/>
    <col min="13" max="13" width="9.54296875" bestFit="1" customWidth="1"/>
    <col min="14" max="14" width="8" bestFit="1" customWidth="1"/>
    <col min="15" max="15" width="11.1796875" bestFit="1" customWidth="1"/>
    <col min="16" max="16" width="9.7265625" bestFit="1" customWidth="1"/>
  </cols>
  <sheetData>
    <row r="1" spans="1:10" x14ac:dyDescent="0.35">
      <c r="A1" t="s">
        <v>42</v>
      </c>
      <c r="J1">
        <v>2</v>
      </c>
    </row>
    <row r="2" spans="1:10" x14ac:dyDescent="0.35">
      <c r="A2" t="s">
        <v>43</v>
      </c>
      <c r="J2">
        <v>2</v>
      </c>
    </row>
    <row r="3" spans="1:10" x14ac:dyDescent="0.35">
      <c r="A3" t="s">
        <v>44</v>
      </c>
      <c r="J3">
        <v>2</v>
      </c>
    </row>
    <row r="4" spans="1:10" x14ac:dyDescent="0.35">
      <c r="A4" t="s">
        <v>45</v>
      </c>
      <c r="J4">
        <v>2</v>
      </c>
    </row>
    <row r="5" spans="1:10" x14ac:dyDescent="0.35">
      <c r="A5" t="s">
        <v>46</v>
      </c>
      <c r="J5">
        <v>2</v>
      </c>
    </row>
    <row r="6" spans="1:10" x14ac:dyDescent="0.35">
      <c r="A6" t="s">
        <v>47</v>
      </c>
      <c r="J6">
        <v>2</v>
      </c>
    </row>
    <row r="7" spans="1:10" x14ac:dyDescent="0.35">
      <c r="A7" t="s">
        <v>48</v>
      </c>
      <c r="J7">
        <v>2</v>
      </c>
    </row>
    <row r="8" spans="1:10" x14ac:dyDescent="0.35">
      <c r="A8" t="s">
        <v>49</v>
      </c>
      <c r="J8">
        <v>2</v>
      </c>
    </row>
    <row r="9" spans="1:10" x14ac:dyDescent="0.35">
      <c r="A9" t="s">
        <v>50</v>
      </c>
      <c r="J9">
        <v>2</v>
      </c>
    </row>
    <row r="10" spans="1:10" x14ac:dyDescent="0.35">
      <c r="A10" t="s">
        <v>51</v>
      </c>
      <c r="J10">
        <v>2</v>
      </c>
    </row>
    <row r="11" spans="1:10" x14ac:dyDescent="0.35">
      <c r="A11" t="s">
        <v>52</v>
      </c>
      <c r="J11">
        <v>2</v>
      </c>
    </row>
    <row r="12" spans="1:10" x14ac:dyDescent="0.35">
      <c r="A12" t="s">
        <v>53</v>
      </c>
      <c r="J12">
        <v>2</v>
      </c>
    </row>
    <row r="13" spans="1:10" x14ac:dyDescent="0.35">
      <c r="A13" t="s">
        <v>54</v>
      </c>
      <c r="J13">
        <v>2</v>
      </c>
    </row>
    <row r="14" spans="1:10" x14ac:dyDescent="0.35">
      <c r="A14" t="s">
        <v>55</v>
      </c>
      <c r="J14">
        <v>2</v>
      </c>
    </row>
    <row r="15" spans="1:10" x14ac:dyDescent="0.35">
      <c r="A15" t="s">
        <v>56</v>
      </c>
      <c r="J15">
        <v>2</v>
      </c>
    </row>
    <row r="16" spans="1:10" x14ac:dyDescent="0.35">
      <c r="A16" t="s">
        <v>57</v>
      </c>
      <c r="J16">
        <v>2</v>
      </c>
    </row>
    <row r="17" spans="1:10" x14ac:dyDescent="0.35">
      <c r="A17" t="s">
        <v>58</v>
      </c>
      <c r="J17">
        <v>2</v>
      </c>
    </row>
    <row r="18" spans="1:10" x14ac:dyDescent="0.35">
      <c r="A18" t="s">
        <v>59</v>
      </c>
      <c r="J18">
        <v>2</v>
      </c>
    </row>
    <row r="19" spans="1:10" x14ac:dyDescent="0.35">
      <c r="A19" t="s">
        <v>60</v>
      </c>
      <c r="J19">
        <v>2</v>
      </c>
    </row>
    <row r="20" spans="1:10" x14ac:dyDescent="0.35">
      <c r="A20" t="s">
        <v>61</v>
      </c>
      <c r="J20">
        <v>2</v>
      </c>
    </row>
    <row r="21" spans="1:10" x14ac:dyDescent="0.35">
      <c r="A21" t="s">
        <v>62</v>
      </c>
      <c r="J21">
        <v>2</v>
      </c>
    </row>
    <row r="22" spans="1:10" x14ac:dyDescent="0.35">
      <c r="A22" t="s">
        <v>63</v>
      </c>
      <c r="J22">
        <v>2</v>
      </c>
    </row>
    <row r="23" spans="1:10" x14ac:dyDescent="0.35">
      <c r="A23" t="s">
        <v>64</v>
      </c>
      <c r="J23">
        <v>2</v>
      </c>
    </row>
    <row r="24" spans="1:10" x14ac:dyDescent="0.35">
      <c r="A24" t="s">
        <v>65</v>
      </c>
      <c r="J24">
        <v>2</v>
      </c>
    </row>
    <row r="25" spans="1:10" x14ac:dyDescent="0.35">
      <c r="A25" t="s">
        <v>66</v>
      </c>
      <c r="J25">
        <v>2</v>
      </c>
    </row>
    <row r="26" spans="1:10" x14ac:dyDescent="0.35">
      <c r="A26" t="s">
        <v>67</v>
      </c>
      <c r="J26">
        <v>2</v>
      </c>
    </row>
    <row r="27" spans="1:10" x14ac:dyDescent="0.35">
      <c r="A27" t="s">
        <v>68</v>
      </c>
      <c r="J27">
        <v>2</v>
      </c>
    </row>
    <row r="28" spans="1:10" x14ac:dyDescent="0.35">
      <c r="A28" t="s">
        <v>69</v>
      </c>
      <c r="J28">
        <v>2</v>
      </c>
    </row>
    <row r="29" spans="1:10" x14ac:dyDescent="0.35">
      <c r="A29" t="s">
        <v>70</v>
      </c>
      <c r="J29">
        <v>2</v>
      </c>
    </row>
    <row r="30" spans="1:10" x14ac:dyDescent="0.35">
      <c r="A30" t="s">
        <v>71</v>
      </c>
      <c r="J30">
        <v>2</v>
      </c>
    </row>
    <row r="32" spans="1:10" x14ac:dyDescent="0.35">
      <c r="J32">
        <f>SUM(J1:J30)</f>
        <v>60</v>
      </c>
    </row>
    <row r="37" spans="1:12" ht="15" thickBot="1" x14ac:dyDescent="0.4"/>
    <row r="38" spans="1:12" x14ac:dyDescent="0.35">
      <c r="F38" s="1" t="s">
        <v>73</v>
      </c>
      <c r="G38" s="2"/>
      <c r="H38" s="2"/>
      <c r="I38" s="2"/>
      <c r="J38" s="2"/>
      <c r="K38" s="2"/>
      <c r="L38" s="3"/>
    </row>
    <row r="39" spans="1:12" ht="15" thickBot="1" x14ac:dyDescent="0.4">
      <c r="F39" s="4"/>
      <c r="G39" s="5"/>
      <c r="H39" s="5"/>
      <c r="I39" s="5"/>
      <c r="J39" s="5"/>
      <c r="K39" s="5"/>
      <c r="L39" s="6"/>
    </row>
    <row r="42" spans="1:12" x14ac:dyDescent="0.35">
      <c r="A42" t="s">
        <v>74</v>
      </c>
      <c r="B42" t="s">
        <v>42</v>
      </c>
    </row>
    <row r="43" spans="1:12" ht="15" thickBot="1" x14ac:dyDescent="0.4"/>
    <row r="44" spans="1:12" ht="16" thickBot="1" x14ac:dyDescent="0.4">
      <c r="B44" s="9" t="s">
        <v>75</v>
      </c>
    </row>
    <row r="45" spans="1:12" ht="15.5" x14ac:dyDescent="0.35">
      <c r="B45" s="7" cm="1">
        <f t="array" ref="B45:B50">Sales_Data!E2:E7*Sales_Data!F2:F7</f>
        <v>90000</v>
      </c>
    </row>
    <row r="46" spans="1:12" ht="15.5" x14ac:dyDescent="0.35">
      <c r="B46" s="8">
        <v>75000</v>
      </c>
    </row>
    <row r="47" spans="1:12" ht="15.5" x14ac:dyDescent="0.35">
      <c r="B47" s="8">
        <v>54000</v>
      </c>
    </row>
    <row r="48" spans="1:12" ht="15.5" x14ac:dyDescent="0.35">
      <c r="B48" s="8">
        <v>45000</v>
      </c>
    </row>
    <row r="49" spans="1:15" ht="15.5" x14ac:dyDescent="0.35">
      <c r="B49" s="8">
        <v>60000</v>
      </c>
    </row>
    <row r="50" spans="1:15" ht="15.5" x14ac:dyDescent="0.35">
      <c r="B50" s="8">
        <v>90000</v>
      </c>
    </row>
    <row r="52" spans="1:15" x14ac:dyDescent="0.35">
      <c r="A52" t="s">
        <v>76</v>
      </c>
      <c r="B52" t="s">
        <v>77</v>
      </c>
    </row>
    <row r="53" spans="1:15" x14ac:dyDescent="0.35">
      <c r="C53" s="10"/>
    </row>
    <row r="54" spans="1:15" x14ac:dyDescent="0.35">
      <c r="B54" t="s">
        <v>7</v>
      </c>
      <c r="C54" t="s">
        <v>28</v>
      </c>
      <c r="D54" t="s">
        <v>29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75</v>
      </c>
      <c r="N54" t="s">
        <v>91</v>
      </c>
      <c r="O54" t="s">
        <v>92</v>
      </c>
    </row>
    <row r="55" spans="1:15" x14ac:dyDescent="0.35">
      <c r="B55" t="s">
        <v>13</v>
      </c>
      <c r="C55" t="s">
        <v>30</v>
      </c>
      <c r="D55">
        <v>18</v>
      </c>
      <c r="F55">
        <v>301</v>
      </c>
      <c r="G55" t="s">
        <v>11</v>
      </c>
      <c r="H55" t="s">
        <v>12</v>
      </c>
      <c r="I55" t="s">
        <v>13</v>
      </c>
      <c r="J55">
        <v>2</v>
      </c>
      <c r="K55">
        <v>45000</v>
      </c>
      <c r="L55" t="s">
        <v>14</v>
      </c>
      <c r="M55" cm="1">
        <f t="array" ref="M55:M60">J55:J60*K55:K60</f>
        <v>90000</v>
      </c>
      <c r="N55">
        <f>VLOOKUP(I55,B54:D57,3,0)/100</f>
        <v>0.18</v>
      </c>
      <c r="O55">
        <f>M55*N55</f>
        <v>16200</v>
      </c>
    </row>
    <row r="56" spans="1:15" x14ac:dyDescent="0.35">
      <c r="B56" t="s">
        <v>17</v>
      </c>
      <c r="C56" t="s">
        <v>30</v>
      </c>
      <c r="D56">
        <v>12</v>
      </c>
      <c r="F56">
        <v>302</v>
      </c>
      <c r="G56" t="s">
        <v>15</v>
      </c>
      <c r="H56" t="s">
        <v>16</v>
      </c>
      <c r="I56" t="s">
        <v>17</v>
      </c>
      <c r="J56">
        <v>5</v>
      </c>
      <c r="K56">
        <v>15000</v>
      </c>
      <c r="L56" t="s">
        <v>18</v>
      </c>
      <c r="M56">
        <v>75000</v>
      </c>
      <c r="N56">
        <f t="shared" ref="N56:N60" si="0">VLOOKUP(I56,$B$54:$D$57,3,0)/100</f>
        <v>0.12</v>
      </c>
      <c r="O56">
        <f t="shared" ref="O56:O60" si="1">M56*N56</f>
        <v>9000</v>
      </c>
    </row>
    <row r="57" spans="1:15" x14ac:dyDescent="0.35">
      <c r="B57" t="s">
        <v>21</v>
      </c>
      <c r="C57" t="s">
        <v>30</v>
      </c>
      <c r="D57">
        <v>12</v>
      </c>
      <c r="F57">
        <v>303</v>
      </c>
      <c r="G57" t="s">
        <v>19</v>
      </c>
      <c r="H57" t="s">
        <v>20</v>
      </c>
      <c r="I57" t="s">
        <v>21</v>
      </c>
      <c r="J57">
        <v>3</v>
      </c>
      <c r="K57">
        <v>18000</v>
      </c>
      <c r="L57" t="s">
        <v>22</v>
      </c>
      <c r="M57">
        <v>54000</v>
      </c>
      <c r="N57">
        <f t="shared" si="0"/>
        <v>0.12</v>
      </c>
      <c r="O57">
        <f t="shared" si="1"/>
        <v>6480</v>
      </c>
    </row>
    <row r="58" spans="1:15" x14ac:dyDescent="0.35">
      <c r="F58">
        <v>304</v>
      </c>
      <c r="G58" t="s">
        <v>23</v>
      </c>
      <c r="H58" t="s">
        <v>24</v>
      </c>
      <c r="I58" t="s">
        <v>13</v>
      </c>
      <c r="J58">
        <v>1</v>
      </c>
      <c r="K58">
        <v>45000</v>
      </c>
      <c r="L58" t="s">
        <v>25</v>
      </c>
      <c r="M58">
        <v>45000</v>
      </c>
      <c r="N58">
        <f t="shared" si="0"/>
        <v>0.18</v>
      </c>
      <c r="O58">
        <f t="shared" si="1"/>
        <v>8100</v>
      </c>
    </row>
    <row r="59" spans="1:15" x14ac:dyDescent="0.35">
      <c r="F59">
        <v>305</v>
      </c>
      <c r="G59" t="s">
        <v>11</v>
      </c>
      <c r="H59" t="s">
        <v>12</v>
      </c>
      <c r="I59" t="s">
        <v>17</v>
      </c>
      <c r="J59">
        <v>4</v>
      </c>
      <c r="K59">
        <v>15000</v>
      </c>
      <c r="L59" t="s">
        <v>26</v>
      </c>
      <c r="M59">
        <v>60000</v>
      </c>
      <c r="N59">
        <f t="shared" si="0"/>
        <v>0.12</v>
      </c>
      <c r="O59">
        <f t="shared" si="1"/>
        <v>7200</v>
      </c>
    </row>
    <row r="60" spans="1:15" x14ac:dyDescent="0.35">
      <c r="F60">
        <v>306</v>
      </c>
      <c r="G60" t="s">
        <v>15</v>
      </c>
      <c r="H60" t="s">
        <v>16</v>
      </c>
      <c r="I60" t="s">
        <v>13</v>
      </c>
      <c r="J60">
        <v>2</v>
      </c>
      <c r="K60">
        <v>45000</v>
      </c>
      <c r="L60" t="s">
        <v>27</v>
      </c>
      <c r="M60">
        <v>90000</v>
      </c>
      <c r="N60">
        <f t="shared" si="0"/>
        <v>0.18</v>
      </c>
      <c r="O60">
        <f t="shared" si="1"/>
        <v>16200</v>
      </c>
    </row>
    <row r="64" spans="1:15" x14ac:dyDescent="0.35">
      <c r="A64" t="s">
        <v>78</v>
      </c>
      <c r="B64" t="s">
        <v>79</v>
      </c>
    </row>
    <row r="66" spans="1:17" x14ac:dyDescent="0.35">
      <c r="A66" t="s">
        <v>4</v>
      </c>
      <c r="B66" t="s">
        <v>5</v>
      </c>
      <c r="C66" t="s">
        <v>6</v>
      </c>
      <c r="D66" t="s">
        <v>7</v>
      </c>
      <c r="E66" t="s">
        <v>8</v>
      </c>
      <c r="F66" t="s">
        <v>9</v>
      </c>
      <c r="G66" t="s">
        <v>10</v>
      </c>
      <c r="H66" t="s">
        <v>75</v>
      </c>
      <c r="I66" t="s">
        <v>91</v>
      </c>
      <c r="J66" t="s">
        <v>92</v>
      </c>
      <c r="K66" t="s">
        <v>93</v>
      </c>
      <c r="O66" t="s">
        <v>7</v>
      </c>
      <c r="P66" t="s">
        <v>28</v>
      </c>
      <c r="Q66" t="s">
        <v>29</v>
      </c>
    </row>
    <row r="67" spans="1:17" x14ac:dyDescent="0.35">
      <c r="A67">
        <v>301</v>
      </c>
      <c r="B67" t="s">
        <v>11</v>
      </c>
      <c r="C67" t="s">
        <v>12</v>
      </c>
      <c r="D67" t="s">
        <v>13</v>
      </c>
      <c r="E67">
        <v>2</v>
      </c>
      <c r="F67">
        <v>45000</v>
      </c>
      <c r="G67" t="s">
        <v>14</v>
      </c>
      <c r="H67" cm="1">
        <f t="array" ref="H67:H72">E67:E72*F67:F72</f>
        <v>90000</v>
      </c>
      <c r="I67">
        <f>VLOOKUP(D67,$O$66:$Q$69,3,0)/100</f>
        <v>0.18</v>
      </c>
      <c r="J67">
        <f>H67*I67</f>
        <v>16200</v>
      </c>
      <c r="K67">
        <f>H67+J67</f>
        <v>106200</v>
      </c>
      <c r="O67" t="s">
        <v>13</v>
      </c>
      <c r="P67" t="s">
        <v>30</v>
      </c>
      <c r="Q67">
        <v>18</v>
      </c>
    </row>
    <row r="68" spans="1:17" x14ac:dyDescent="0.35">
      <c r="A68">
        <v>302</v>
      </c>
      <c r="B68" t="s">
        <v>15</v>
      </c>
      <c r="C68" t="s">
        <v>16</v>
      </c>
      <c r="D68" t="s">
        <v>17</v>
      </c>
      <c r="E68">
        <v>5</v>
      </c>
      <c r="F68">
        <v>15000</v>
      </c>
      <c r="G68" t="s">
        <v>18</v>
      </c>
      <c r="H68">
        <v>75000</v>
      </c>
      <c r="I68">
        <f t="shared" ref="I68:I72" si="2">VLOOKUP(D68,$O$66:$Q$69,3,0)/100</f>
        <v>0.12</v>
      </c>
      <c r="J68">
        <f t="shared" ref="J68:J72" si="3">H68*I68</f>
        <v>9000</v>
      </c>
      <c r="K68">
        <f t="shared" ref="K68:K72" si="4">H68+J68</f>
        <v>84000</v>
      </c>
      <c r="O68" t="s">
        <v>17</v>
      </c>
      <c r="P68" t="s">
        <v>30</v>
      </c>
      <c r="Q68">
        <v>12</v>
      </c>
    </row>
    <row r="69" spans="1:17" x14ac:dyDescent="0.35">
      <c r="A69">
        <v>303</v>
      </c>
      <c r="B69" t="s">
        <v>19</v>
      </c>
      <c r="C69" t="s">
        <v>20</v>
      </c>
      <c r="D69" t="s">
        <v>21</v>
      </c>
      <c r="E69">
        <v>3</v>
      </c>
      <c r="F69">
        <v>18000</v>
      </c>
      <c r="G69" t="s">
        <v>22</v>
      </c>
      <c r="H69">
        <v>54000</v>
      </c>
      <c r="I69">
        <f t="shared" si="2"/>
        <v>0.12</v>
      </c>
      <c r="J69">
        <f t="shared" si="3"/>
        <v>6480</v>
      </c>
      <c r="K69">
        <f t="shared" si="4"/>
        <v>60480</v>
      </c>
      <c r="O69" t="s">
        <v>21</v>
      </c>
      <c r="P69" t="s">
        <v>30</v>
      </c>
      <c r="Q69">
        <v>12</v>
      </c>
    </row>
    <row r="70" spans="1:17" x14ac:dyDescent="0.35">
      <c r="A70">
        <v>304</v>
      </c>
      <c r="B70" t="s">
        <v>23</v>
      </c>
      <c r="C70" t="s">
        <v>24</v>
      </c>
      <c r="D70" t="s">
        <v>13</v>
      </c>
      <c r="E70">
        <v>1</v>
      </c>
      <c r="F70">
        <v>45000</v>
      </c>
      <c r="G70" t="s">
        <v>25</v>
      </c>
      <c r="H70">
        <v>45000</v>
      </c>
      <c r="I70">
        <f t="shared" si="2"/>
        <v>0.18</v>
      </c>
      <c r="J70">
        <f t="shared" si="3"/>
        <v>8100</v>
      </c>
      <c r="K70">
        <f t="shared" si="4"/>
        <v>53100</v>
      </c>
    </row>
    <row r="71" spans="1:17" x14ac:dyDescent="0.35">
      <c r="A71">
        <v>305</v>
      </c>
      <c r="B71" t="s">
        <v>11</v>
      </c>
      <c r="C71" t="s">
        <v>12</v>
      </c>
      <c r="D71" t="s">
        <v>17</v>
      </c>
      <c r="E71">
        <v>4</v>
      </c>
      <c r="F71">
        <v>15000</v>
      </c>
      <c r="G71" t="s">
        <v>26</v>
      </c>
      <c r="H71">
        <v>60000</v>
      </c>
      <c r="I71">
        <f t="shared" si="2"/>
        <v>0.12</v>
      </c>
      <c r="J71">
        <f t="shared" si="3"/>
        <v>7200</v>
      </c>
      <c r="K71">
        <f t="shared" si="4"/>
        <v>67200</v>
      </c>
    </row>
    <row r="72" spans="1:17" x14ac:dyDescent="0.35">
      <c r="A72">
        <v>306</v>
      </c>
      <c r="B72" t="s">
        <v>15</v>
      </c>
      <c r="C72" t="s">
        <v>16</v>
      </c>
      <c r="D72" t="s">
        <v>13</v>
      </c>
      <c r="E72">
        <v>2</v>
      </c>
      <c r="F72">
        <v>45000</v>
      </c>
      <c r="G72" t="s">
        <v>27</v>
      </c>
      <c r="H72">
        <v>90000</v>
      </c>
      <c r="I72">
        <f t="shared" si="2"/>
        <v>0.18</v>
      </c>
      <c r="J72">
        <f t="shared" si="3"/>
        <v>16200</v>
      </c>
      <c r="K72">
        <f t="shared" si="4"/>
        <v>106200</v>
      </c>
    </row>
    <row r="75" spans="1:17" x14ac:dyDescent="0.35">
      <c r="A75" t="s">
        <v>80</v>
      </c>
      <c r="B75" t="s">
        <v>81</v>
      </c>
    </row>
    <row r="77" spans="1:17" x14ac:dyDescent="0.35">
      <c r="A77" t="s">
        <v>4</v>
      </c>
      <c r="B77" t="s">
        <v>5</v>
      </c>
      <c r="C77" t="s">
        <v>6</v>
      </c>
      <c r="D77" t="s">
        <v>7</v>
      </c>
      <c r="E77" t="s">
        <v>8</v>
      </c>
      <c r="F77" t="s">
        <v>9</v>
      </c>
      <c r="G77" t="s">
        <v>10</v>
      </c>
      <c r="H77" t="s">
        <v>75</v>
      </c>
      <c r="I77" t="s">
        <v>91</v>
      </c>
      <c r="J77" t="s">
        <v>92</v>
      </c>
      <c r="K77" t="s">
        <v>93</v>
      </c>
    </row>
    <row r="78" spans="1:17" x14ac:dyDescent="0.35">
      <c r="A78">
        <v>301</v>
      </c>
      <c r="B78" t="s">
        <v>11</v>
      </c>
      <c r="C78" t="s">
        <v>12</v>
      </c>
      <c r="D78" t="s">
        <v>13</v>
      </c>
      <c r="E78">
        <v>2</v>
      </c>
      <c r="F78">
        <v>45000</v>
      </c>
      <c r="G78" t="s">
        <v>14</v>
      </c>
      <c r="H78" cm="1">
        <f t="array" ref="H78:H83">E78:E83*F78:F83</f>
        <v>90000</v>
      </c>
      <c r="I78">
        <f>VLOOKUP(D78,$O$66:$Q$69,3,0)/100</f>
        <v>0.18</v>
      </c>
      <c r="J78">
        <f>H78*I78</f>
        <v>16200</v>
      </c>
      <c r="K78">
        <f>H78+J78</f>
        <v>106200</v>
      </c>
    </row>
    <row r="79" spans="1:17" x14ac:dyDescent="0.35">
      <c r="A79">
        <v>302</v>
      </c>
      <c r="B79" t="s">
        <v>15</v>
      </c>
      <c r="C79" t="s">
        <v>16</v>
      </c>
      <c r="D79" t="s">
        <v>17</v>
      </c>
      <c r="E79">
        <v>5</v>
      </c>
      <c r="F79">
        <v>15000</v>
      </c>
      <c r="G79" t="s">
        <v>18</v>
      </c>
      <c r="H79">
        <v>75000</v>
      </c>
      <c r="I79">
        <f t="shared" ref="I79:I83" si="5">VLOOKUP(D79,$O$66:$Q$69,3,0)/100</f>
        <v>0.12</v>
      </c>
      <c r="J79">
        <f t="shared" ref="J79:J83" si="6">H79*I79</f>
        <v>9000</v>
      </c>
      <c r="K79">
        <f t="shared" ref="K79:K83" si="7">H79+J79</f>
        <v>84000</v>
      </c>
    </row>
    <row r="80" spans="1:17" x14ac:dyDescent="0.35">
      <c r="A80">
        <v>303</v>
      </c>
      <c r="B80" t="s">
        <v>19</v>
      </c>
      <c r="C80" t="s">
        <v>20</v>
      </c>
      <c r="D80" t="s">
        <v>21</v>
      </c>
      <c r="E80">
        <v>3</v>
      </c>
      <c r="F80">
        <v>18000</v>
      </c>
      <c r="G80" t="s">
        <v>22</v>
      </c>
      <c r="H80">
        <v>54000</v>
      </c>
      <c r="I80">
        <f t="shared" si="5"/>
        <v>0.12</v>
      </c>
      <c r="J80">
        <f t="shared" si="6"/>
        <v>6480</v>
      </c>
      <c r="K80">
        <f t="shared" si="7"/>
        <v>60480</v>
      </c>
    </row>
    <row r="81" spans="1:11" x14ac:dyDescent="0.35">
      <c r="A81">
        <v>304</v>
      </c>
      <c r="B81" t="s">
        <v>23</v>
      </c>
      <c r="C81" t="s">
        <v>24</v>
      </c>
      <c r="D81" t="s">
        <v>13</v>
      </c>
      <c r="E81">
        <v>1</v>
      </c>
      <c r="F81">
        <v>45000</v>
      </c>
      <c r="G81" t="s">
        <v>25</v>
      </c>
      <c r="H81">
        <v>45000</v>
      </c>
      <c r="I81">
        <f t="shared" si="5"/>
        <v>0.18</v>
      </c>
      <c r="J81">
        <f t="shared" si="6"/>
        <v>8100</v>
      </c>
      <c r="K81">
        <f t="shared" si="7"/>
        <v>53100</v>
      </c>
    </row>
    <row r="82" spans="1:11" x14ac:dyDescent="0.35">
      <c r="A82">
        <v>305</v>
      </c>
      <c r="B82" t="s">
        <v>11</v>
      </c>
      <c r="C82" t="s">
        <v>12</v>
      </c>
      <c r="D82" t="s">
        <v>17</v>
      </c>
      <c r="E82">
        <v>4</v>
      </c>
      <c r="F82">
        <v>15000</v>
      </c>
      <c r="G82" t="s">
        <v>26</v>
      </c>
      <c r="H82">
        <v>60000</v>
      </c>
      <c r="I82">
        <f t="shared" si="5"/>
        <v>0.12</v>
      </c>
      <c r="J82">
        <f t="shared" si="6"/>
        <v>7200</v>
      </c>
      <c r="K82">
        <f t="shared" si="7"/>
        <v>67200</v>
      </c>
    </row>
    <row r="83" spans="1:11" x14ac:dyDescent="0.35">
      <c r="A83">
        <v>306</v>
      </c>
      <c r="B83" t="s">
        <v>15</v>
      </c>
      <c r="C83" t="s">
        <v>16</v>
      </c>
      <c r="D83" t="s">
        <v>13</v>
      </c>
      <c r="E83">
        <v>2</v>
      </c>
      <c r="F83">
        <v>45000</v>
      </c>
      <c r="G83" t="s">
        <v>27</v>
      </c>
      <c r="H83">
        <v>90000</v>
      </c>
      <c r="I83">
        <f t="shared" si="5"/>
        <v>0.18</v>
      </c>
      <c r="J83">
        <f t="shared" si="6"/>
        <v>16200</v>
      </c>
      <c r="K83">
        <f t="shared" si="7"/>
        <v>106200</v>
      </c>
    </row>
    <row r="84" spans="1:11" x14ac:dyDescent="0.35">
      <c r="J84" t="s">
        <v>94</v>
      </c>
      <c r="K84">
        <f>SUM(K78:K83)</f>
        <v>477180</v>
      </c>
    </row>
    <row r="86" spans="1:11" x14ac:dyDescent="0.35">
      <c r="A86" t="s">
        <v>84</v>
      </c>
      <c r="B86" t="s">
        <v>85</v>
      </c>
    </row>
    <row r="88" spans="1:11" x14ac:dyDescent="0.35">
      <c r="B88" t="s">
        <v>86</v>
      </c>
    </row>
    <row r="89" spans="1:11" x14ac:dyDescent="0.35">
      <c r="B89">
        <f>COUNTA(Sales_Data!A2:A7)</f>
        <v>6</v>
      </c>
    </row>
    <row r="91" spans="1:11" x14ac:dyDescent="0.35">
      <c r="A91" t="s">
        <v>87</v>
      </c>
      <c r="B91" t="s">
        <v>88</v>
      </c>
    </row>
    <row r="93" spans="1:11" x14ac:dyDescent="0.35">
      <c r="B93" t="s">
        <v>96</v>
      </c>
    </row>
    <row r="101" spans="1:11" x14ac:dyDescent="0.35">
      <c r="A101" t="s">
        <v>89</v>
      </c>
      <c r="B101" t="s">
        <v>95</v>
      </c>
    </row>
    <row r="103" spans="1:11" x14ac:dyDescent="0.35">
      <c r="B103" t="s">
        <v>4</v>
      </c>
      <c r="C103" t="s">
        <v>5</v>
      </c>
      <c r="D103" t="s">
        <v>6</v>
      </c>
      <c r="E103" t="s">
        <v>7</v>
      </c>
      <c r="F103" t="s">
        <v>8</v>
      </c>
      <c r="G103" t="s">
        <v>9</v>
      </c>
      <c r="H103" t="s">
        <v>10</v>
      </c>
      <c r="J103" t="s">
        <v>97</v>
      </c>
      <c r="K103" t="s">
        <v>98</v>
      </c>
    </row>
    <row r="104" spans="1:11" x14ac:dyDescent="0.35">
      <c r="B104">
        <v>301</v>
      </c>
      <c r="C104" t="s">
        <v>11</v>
      </c>
      <c r="D104" t="s">
        <v>12</v>
      </c>
      <c r="E104" t="s">
        <v>13</v>
      </c>
      <c r="F104">
        <v>2</v>
      </c>
      <c r="G104">
        <v>45000</v>
      </c>
      <c r="H104" t="s">
        <v>14</v>
      </c>
      <c r="J104" t="e" cm="1" vm="1">
        <f t="array" aca="1" ref="J104" ca="1">IF(F104:F109&gt;3,"high","LOW")</f>
        <v>#VALUE!</v>
      </c>
      <c r="K104" t="str" cm="1">
        <f t="array" ref="K104:K109">IF(F104:F109&lt;=3,"LOW","HIGH")</f>
        <v>LOW</v>
      </c>
    </row>
    <row r="105" spans="1:11" x14ac:dyDescent="0.35">
      <c r="B105">
        <v>302</v>
      </c>
      <c r="C105" t="s">
        <v>15</v>
      </c>
      <c r="D105" t="s">
        <v>16</v>
      </c>
      <c r="E105" t="s">
        <v>17</v>
      </c>
      <c r="F105">
        <v>5</v>
      </c>
      <c r="G105">
        <v>15000</v>
      </c>
      <c r="H105" t="s">
        <v>18</v>
      </c>
      <c r="J105" t="str" cm="1">
        <f t="array" ref="J105">IF(OR(F105:F110&gt;=3,"HIGH"),"LOW")</f>
        <v>LOW</v>
      </c>
      <c r="K105" t="str">
        <v>HIGH</v>
      </c>
    </row>
    <row r="106" spans="1:11" x14ac:dyDescent="0.35">
      <c r="B106">
        <v>303</v>
      </c>
      <c r="C106" t="s">
        <v>19</v>
      </c>
      <c r="D106" t="s">
        <v>20</v>
      </c>
      <c r="E106" t="s">
        <v>21</v>
      </c>
      <c r="F106">
        <v>3</v>
      </c>
      <c r="G106">
        <v>18000</v>
      </c>
      <c r="H106" t="s">
        <v>22</v>
      </c>
      <c r="J106" t="str" cm="1">
        <f t="array" ref="J106">IF(OR(F106:F111&gt;=3,"HIGH"),"LOW")</f>
        <v>LOW</v>
      </c>
      <c r="K106" t="str">
        <v>LOW</v>
      </c>
    </row>
    <row r="107" spans="1:11" x14ac:dyDescent="0.35">
      <c r="B107">
        <v>304</v>
      </c>
      <c r="C107" t="s">
        <v>23</v>
      </c>
      <c r="D107" t="s">
        <v>24</v>
      </c>
      <c r="E107" t="s">
        <v>13</v>
      </c>
      <c r="F107">
        <v>1</v>
      </c>
      <c r="G107">
        <v>45000</v>
      </c>
      <c r="H107" t="s">
        <v>25</v>
      </c>
      <c r="J107" t="str" cm="1">
        <f t="array" ref="J107">IF(OR(F107:F112&gt;=3,"HIGH"),"LOW")</f>
        <v>LOW</v>
      </c>
      <c r="K107" t="str">
        <v>LOW</v>
      </c>
    </row>
    <row r="108" spans="1:11" x14ac:dyDescent="0.35">
      <c r="B108">
        <v>305</v>
      </c>
      <c r="C108" t="s">
        <v>11</v>
      </c>
      <c r="D108" t="s">
        <v>12</v>
      </c>
      <c r="E108" t="s">
        <v>17</v>
      </c>
      <c r="F108">
        <v>4</v>
      </c>
      <c r="G108">
        <v>15000</v>
      </c>
      <c r="H108" t="s">
        <v>26</v>
      </c>
      <c r="J108" t="str" cm="1">
        <f t="array" ref="J108">IF(OR(F108:F113&gt;=3,"HIGH"),"LOW")</f>
        <v>LOW</v>
      </c>
      <c r="K108" t="str">
        <v>HIGH</v>
      </c>
    </row>
    <row r="109" spans="1:11" x14ac:dyDescent="0.35">
      <c r="B109">
        <v>306</v>
      </c>
      <c r="C109" t="s">
        <v>15</v>
      </c>
      <c r="D109" t="s">
        <v>16</v>
      </c>
      <c r="E109" t="s">
        <v>13</v>
      </c>
      <c r="F109">
        <v>2</v>
      </c>
      <c r="G109">
        <v>45000</v>
      </c>
      <c r="H109" t="s">
        <v>27</v>
      </c>
      <c r="J109" t="b" cm="1">
        <f t="array" ref="J109">IF(OR(F109:F114&gt;=3,"HIGH"),"LOW")</f>
        <v>0</v>
      </c>
      <c r="K109" t="str">
        <v>LOW</v>
      </c>
    </row>
    <row r="112" spans="1:11" x14ac:dyDescent="0.35">
      <c r="A112" t="s">
        <v>99</v>
      </c>
      <c r="B112" t="s">
        <v>100</v>
      </c>
    </row>
    <row r="114" spans="1:4" x14ac:dyDescent="0.35">
      <c r="B114" t="s">
        <v>93</v>
      </c>
      <c r="C114" t="s">
        <v>101</v>
      </c>
      <c r="D114" t="s">
        <v>102</v>
      </c>
    </row>
    <row r="115" spans="1:4" x14ac:dyDescent="0.35">
      <c r="B115">
        <f>J67+H67</f>
        <v>106200</v>
      </c>
      <c r="C115">
        <f>MAX(B115:B120)</f>
        <v>106200</v>
      </c>
      <c r="D115">
        <f>MIN(B115:B120)</f>
        <v>53100</v>
      </c>
    </row>
    <row r="116" spans="1:4" x14ac:dyDescent="0.35">
      <c r="B116">
        <f t="shared" ref="B116:B120" si="8">J68+H68</f>
        <v>84000</v>
      </c>
    </row>
    <row r="117" spans="1:4" x14ac:dyDescent="0.35">
      <c r="B117">
        <f t="shared" si="8"/>
        <v>60480</v>
      </c>
    </row>
    <row r="118" spans="1:4" x14ac:dyDescent="0.35">
      <c r="B118">
        <f t="shared" si="8"/>
        <v>53100</v>
      </c>
    </row>
    <row r="119" spans="1:4" x14ac:dyDescent="0.35">
      <c r="B119">
        <f t="shared" si="8"/>
        <v>67200</v>
      </c>
    </row>
    <row r="120" spans="1:4" x14ac:dyDescent="0.35">
      <c r="B120">
        <f t="shared" si="8"/>
        <v>106200</v>
      </c>
    </row>
    <row r="123" spans="1:4" x14ac:dyDescent="0.35">
      <c r="A123" t="s">
        <v>103</v>
      </c>
      <c r="B123" t="s">
        <v>104</v>
      </c>
    </row>
    <row r="125" spans="1:4" x14ac:dyDescent="0.35">
      <c r="B125" t="s">
        <v>10</v>
      </c>
      <c r="C125" t="s">
        <v>105</v>
      </c>
    </row>
    <row r="126" spans="1:4" x14ac:dyDescent="0.35">
      <c r="B126" t="s">
        <v>14</v>
      </c>
      <c r="C126" s="11">
        <v>45662</v>
      </c>
    </row>
    <row r="127" spans="1:4" x14ac:dyDescent="0.35">
      <c r="B127" t="s">
        <v>18</v>
      </c>
      <c r="C127" s="11">
        <v>45663</v>
      </c>
    </row>
    <row r="128" spans="1:4" x14ac:dyDescent="0.35">
      <c r="B128" t="s">
        <v>22</v>
      </c>
      <c r="C128" s="11">
        <v>45664</v>
      </c>
    </row>
    <row r="129" spans="1:3" x14ac:dyDescent="0.35">
      <c r="B129" t="s">
        <v>25</v>
      </c>
      <c r="C129" s="11">
        <v>45665</v>
      </c>
    </row>
    <row r="130" spans="1:3" x14ac:dyDescent="0.35">
      <c r="B130" t="s">
        <v>26</v>
      </c>
      <c r="C130" s="11">
        <v>45666</v>
      </c>
    </row>
    <row r="131" spans="1:3" x14ac:dyDescent="0.35">
      <c r="B131" t="s">
        <v>27</v>
      </c>
      <c r="C131" s="11">
        <v>45667</v>
      </c>
    </row>
    <row r="135" spans="1:3" x14ac:dyDescent="0.35">
      <c r="A135" t="s">
        <v>106</v>
      </c>
    </row>
  </sheetData>
  <mergeCells count="1">
    <mergeCell ref="F38:L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D20" sqref="D20"/>
    </sheetView>
  </sheetViews>
  <sheetFormatPr defaultRowHeight="14.5" x14ac:dyDescent="0.35"/>
  <sheetData>
    <row r="1" spans="1:1" x14ac:dyDescent="0.35">
      <c r="A1" t="s">
        <v>72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D9" sqref="D9"/>
    </sheetView>
  </sheetViews>
  <sheetFormatPr defaultRowHeight="14.5" x14ac:dyDescent="0.35"/>
  <cols>
    <col min="6" max="6" width="12.90625" bestFit="1" customWidth="1"/>
  </cols>
  <sheetData>
    <row r="1" spans="1:6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 (2)</vt:lpstr>
      <vt:lpstr>Product_Master</vt:lpstr>
      <vt:lpstr>Sales_Data</vt:lpstr>
      <vt:lpstr>Questions</vt:lpstr>
      <vt:lpstr>Instructions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ASDC50</cp:lastModifiedBy>
  <dcterms:created xsi:type="dcterms:W3CDTF">2025-12-20T09:26:06Z</dcterms:created>
  <dcterms:modified xsi:type="dcterms:W3CDTF">2026-07-13T07:17:57Z</dcterms:modified>
</cp:coreProperties>
</file>