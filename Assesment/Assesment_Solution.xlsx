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GIthub Account\Assesment\"/>
    </mc:Choice>
  </mc:AlternateContent>
  <xr:revisionPtr revIDLastSave="0" documentId="13_ncr:1_{16951BC0-BBC9-43CC-A62A-1CCC5707CA5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Questions (2)" sheetId="7" r:id="rId1"/>
    <sheet name="Product_Master" sheetId="3" r:id="rId2"/>
    <sheet name="Sales_Data" sheetId="2" r:id="rId3"/>
    <sheet name="Questions" sheetId="5" r:id="rId4"/>
    <sheet name="Instructions" sheetId="1" r:id="rId5"/>
    <sheet name="Student_Marks" sheetId="4" r:id="rId6"/>
  </sheets>
  <definedNames>
    <definedName name="_xlnm._FilterDatabase" localSheetId="3" hidden="1">Questions!$B$335:$I$341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" i="4" l="1"/>
  <c r="J18" i="4"/>
  <c r="H11" i="4"/>
  <c r="C360" i="5"/>
  <c r="C361" i="5"/>
  <c r="C362" i="5"/>
  <c r="C363" i="5"/>
  <c r="C364" i="5"/>
  <c r="C359" i="5"/>
  <c r="K348" i="5"/>
  <c r="I349" i="5" a="1"/>
  <c r="I349" i="5" s="1"/>
  <c r="D312" i="5"/>
  <c r="D313" i="5"/>
  <c r="D314" i="5"/>
  <c r="D315" i="5"/>
  <c r="D316" i="5"/>
  <c r="D311" i="5"/>
  <c r="D288" i="5"/>
  <c r="I336" i="5" a="1"/>
  <c r="I336" i="5" s="1"/>
  <c r="B324" i="5"/>
  <c r="B325" i="5"/>
  <c r="B326" i="5"/>
  <c r="B327" i="5"/>
  <c r="B328" i="5"/>
  <c r="B323" i="5"/>
  <c r="F14" i="4"/>
  <c r="F15" i="4"/>
  <c r="F16" i="4"/>
  <c r="F17" i="4"/>
  <c r="F13" i="4"/>
  <c r="F276" i="5"/>
  <c r="L11" i="4" a="1"/>
  <c r="L11" i="4" s="1"/>
  <c r="L8" i="4"/>
  <c r="L5" i="4"/>
  <c r="H3" i="4"/>
  <c r="H4" i="4"/>
  <c r="H5" i="4"/>
  <c r="H6" i="4"/>
  <c r="H2" i="4"/>
  <c r="G3" i="4"/>
  <c r="G4" i="4"/>
  <c r="G5" i="4"/>
  <c r="G6" i="4"/>
  <c r="G2" i="4"/>
  <c r="E7" i="3" l="1"/>
  <c r="J104" i="5" a="1"/>
  <c r="J104" i="5" s="1"/>
  <c r="J105" i="5" a="1"/>
  <c r="J105" i="5"/>
  <c r="J106" i="5" a="1"/>
  <c r="J106" i="5"/>
  <c r="J107" i="5" a="1"/>
  <c r="J107" i="5" s="1"/>
  <c r="J108" i="5" a="1"/>
  <c r="J108" i="5" s="1"/>
  <c r="J109" i="5" a="1"/>
  <c r="J109" i="5"/>
  <c r="K104" i="5" a="1"/>
  <c r="K104" i="5" s="1"/>
  <c r="I83" i="5"/>
  <c r="I82" i="5"/>
  <c r="I81" i="5"/>
  <c r="I80" i="5"/>
  <c r="I79" i="5"/>
  <c r="I78" i="5"/>
  <c r="H78" i="5" a="1"/>
  <c r="I68" i="5"/>
  <c r="I69" i="5"/>
  <c r="I70" i="5"/>
  <c r="I71" i="5"/>
  <c r="I72" i="5"/>
  <c r="I67" i="5"/>
  <c r="H67" i="5" a="1"/>
  <c r="J72" i="5" s="1"/>
  <c r="N55" i="5"/>
  <c r="N56" i="5"/>
  <c r="N57" i="5"/>
  <c r="N58" i="5"/>
  <c r="N59" i="5"/>
  <c r="N60" i="5"/>
  <c r="M55" i="5" a="1"/>
  <c r="M55" i="5" s="1"/>
  <c r="B81" i="7"/>
  <c r="C54" i="7"/>
  <c r="B45" i="7" a="1"/>
  <c r="B45" i="7" s="1"/>
  <c r="C58" i="7" s="1"/>
  <c r="B31" i="7"/>
  <c r="B89" i="5"/>
  <c r="H2" i="2" a="1"/>
  <c r="H2" i="2" s="1"/>
  <c r="B45" i="5" a="1"/>
  <c r="B45" i="5" s="1"/>
  <c r="J32" i="5"/>
  <c r="K72" i="5" l="1"/>
  <c r="B120" i="5"/>
  <c r="O56" i="5"/>
  <c r="J70" i="5"/>
  <c r="B118" i="5" s="1"/>
  <c r="O55" i="5"/>
  <c r="J82" i="5"/>
  <c r="K82" i="5" s="1"/>
  <c r="H67" i="5"/>
  <c r="J67" i="5" s="1"/>
  <c r="B115" i="5" s="1"/>
  <c r="J68" i="5"/>
  <c r="O60" i="5"/>
  <c r="O59" i="5"/>
  <c r="J81" i="5"/>
  <c r="K81" i="5" s="1"/>
  <c r="O58" i="5"/>
  <c r="O57" i="5"/>
  <c r="J83" i="5"/>
  <c r="K83" i="5" s="1"/>
  <c r="J79" i="5"/>
  <c r="K79" i="5" s="1"/>
  <c r="H78" i="5"/>
  <c r="J80" i="5"/>
  <c r="K80" i="5"/>
  <c r="J71" i="5"/>
  <c r="J69" i="5"/>
  <c r="K71" i="5" l="1"/>
  <c r="B119" i="5"/>
  <c r="K68" i="5"/>
  <c r="B116" i="5"/>
  <c r="C115" i="5" s="1"/>
  <c r="K69" i="5"/>
  <c r="B117" i="5"/>
  <c r="K70" i="5"/>
  <c r="K67" i="5"/>
  <c r="J78" i="5"/>
  <c r="K78" i="5" s="1"/>
  <c r="K84" i="5" s="1"/>
  <c r="D115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<sst xmlns="http://schemas.openxmlformats.org/spreadsheetml/2006/main" count="467" uniqueCount="123">
  <si>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</si>
  <si>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</si>
  <si>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</si>
  <si>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</si>
  <si>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</si>
  <si>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</si>
  <si>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</si>
  <si>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</si>
  <si>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</si>
  <si>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</si>
  <si>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</si>
  <si>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</si>
  <si>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</si>
  <si>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</si>
  <si>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</si>
  <si>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</si>
  <si>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</si>
  <si>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</si>
  <si>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</si>
  <si>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</si>
  <si>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</si>
  <si>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</si>
  <si>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</si>
  <si>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</si>
  <si>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</si>
  <si>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</si>
  <si>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</si>
  <si>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</si>
  <si>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</si>
  <si>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</si>
  <si>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</si>
  <si>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</si>
  <si>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</si>
  <si>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</si>
  <si>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</si>
  <si>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</si>
  <si>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</si>
  <si>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</si>
  <si>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</si>
  <si>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</si>
  <si>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</si>
  <si>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</si>
  <si>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</si>
  <si>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</si>
  <si>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</si>
  <si>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</si>
  <si>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</si>
  <si>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</si>
  <si>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</si>
  <si>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</si>
  <si>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</si>
  <si>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</si>
  <si>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</si>
  <si>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</si>
  <si>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</si>
  <si>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</si>
  <si>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</si>
  <si>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</si>
  <si>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</si>
  <si>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</si>
  <si>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</si>
  <si>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</si>
  <si>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</si>
  <si>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</si>
  <si>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</si>
  <si>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</si>
  <si>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</si>
  <si>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</si>
  <si>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</si>
  <si>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</si>
  <si>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</si>
  <si>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</si>
  <si>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</si>
  <si>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 xml:space="preserve">Answers </t>
  </si>
  <si>
    <t xml:space="preserve">Q1: </t>
  </si>
  <si>
    <t>Total sales</t>
  </si>
  <si>
    <t xml:space="preserve">Q2: </t>
  </si>
  <si>
    <t>Calculate GST Amount using VLOOKUP from Product_Master.</t>
  </si>
  <si>
    <t>Q3:</t>
  </si>
  <si>
    <t>Find Final Amount payable (Total Sales + GST).</t>
  </si>
  <si>
    <t>Q4:</t>
  </si>
  <si>
    <t>Find Grand Total of Final Amount.</t>
  </si>
  <si>
    <t>Final Amount :</t>
  </si>
  <si>
    <t xml:space="preserve">Final Total </t>
  </si>
  <si>
    <t>Q5:</t>
  </si>
  <si>
    <t>Count total number of orders using COUNTA.</t>
  </si>
  <si>
    <t>Total orders</t>
  </si>
  <si>
    <t>Q6:</t>
  </si>
  <si>
    <t>Find Region-wise total sales using SUMIF.</t>
  </si>
  <si>
    <t>Q7:</t>
  </si>
  <si>
    <t>Price</t>
  </si>
  <si>
    <t>With Gst</t>
  </si>
  <si>
    <t>GST Amount</t>
  </si>
  <si>
    <t>Final Payable Amount</t>
  </si>
  <si>
    <t>GRAND TOTAL</t>
  </si>
  <si>
    <t>Use IF to classify Quantity as High (&gt;3) or Low (&lt;=3).</t>
  </si>
  <si>
    <t>Region wise</t>
  </si>
  <si>
    <t>IF &gt; 3</t>
  </si>
  <si>
    <t>IF&lt;=3</t>
  </si>
  <si>
    <t>Q8:</t>
  </si>
  <si>
    <t>Find the maximum and minimum Final Amount.</t>
  </si>
  <si>
    <t>MAX</t>
  </si>
  <si>
    <t>MIN</t>
  </si>
  <si>
    <t>Q9:</t>
  </si>
  <si>
    <t>Extract month name from Sales_Date.</t>
  </si>
  <si>
    <t>Months</t>
  </si>
  <si>
    <t>Q10:</t>
  </si>
  <si>
    <t>Q11:</t>
  </si>
  <si>
    <t>Q12:</t>
  </si>
  <si>
    <t>Total marks</t>
  </si>
  <si>
    <t>average</t>
  </si>
  <si>
    <t>Topper</t>
  </si>
  <si>
    <t>COUNTIF</t>
  </si>
  <si>
    <t>Check Attendance</t>
  </si>
  <si>
    <t>Row Labels</t>
  </si>
  <si>
    <t>Grand Total</t>
  </si>
  <si>
    <t>Sum of Total sales</t>
  </si>
  <si>
    <t>Sum of Excel</t>
  </si>
  <si>
    <t xml:space="preserve">Concate </t>
  </si>
  <si>
    <t>Final Amount</t>
  </si>
  <si>
    <t>Standard Deviation</t>
  </si>
  <si>
    <t>counifs</t>
  </si>
  <si>
    <t>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</si>
</sst>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0" xfId="1" applyFont="1"/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3A711181-90E0-47DA-9FD2-37C93193C1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[Assesment_Solution.xlsx]Sales_Data!PivotTable2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Sales_Data!$J$13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8E-462F-826D-D36AF54213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8E-462F-826D-D36AF54213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8E-462F-826D-D36AF54213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8E-462F-826D-D36AF542136B}"/>
              </c:ext>
            </c:extLst>
          </c:dPt>
          <c:cat>
            <c:strRef>
              <c:f>Sales_Data!$I$14:$I$18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Sales_Data!$J$14:$J$18</c:f>
              <c:numCache>
                <c:formatCode>General</c:formatCode>
                <c:ptCount val="4"/>
                <c:pt idx="0">
                  <c:v>54000</c:v>
                </c:pt>
                <c:pt idx="1">
                  <c:v>150000</c:v>
                </c:pt>
                <c:pt idx="2">
                  <c:v>165000</c:v>
                </c:pt>
                <c:pt idx="3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8E-462F-826D-D36AF5421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402481221483553"/>
          <c:y val="0.41629520268299797"/>
          <c:w val="0.10605217706557821"/>
          <c:h val="0.37976851851851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[Assesment_Solution.xlsx]Questions!PivotTable3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25402559055118112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Questions!$D$190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Questions!$C$191:$C$194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Questions!$D$191:$D$194</c:f>
              <c:numCache>
                <c:formatCode>General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1-4A02-85AC-B00F319CD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644399"/>
        <c:axId val="1249319439"/>
      </c:barChart>
      <c:catAx>
        <c:axId val="207064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19439"/>
        <c:crosses val="autoZero"/>
        <c:auto val="1"/>
        <c:lblAlgn val="ctr"/>
        <c:lblOffset val="100"/>
        <c:noMultiLvlLbl val="0"/>
      </c:catAx>
      <c:valAx>
        <c:axId val="124931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4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[Assesment_Solution.xlsx]Student_Marks!PivotTable5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Student_Marks!$C$13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Student_Marks!$B$14:$B$19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Student_Marks!$C$14:$C$19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9-4B6B-BF5D-EF3513724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0673167"/>
        <c:axId val="1249322319"/>
      </c:barChart>
      <c:catAx>
        <c:axId val="2070673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22319"/>
        <c:crosses val="autoZero"/>
        <c:auto val="1"/>
        <c:lblAlgn val="ctr"/>
        <c:lblOffset val="100"/>
        <c:noMultiLvlLbl val="0"/>
      </c:catAx>
      <c:valAx>
        <c:axId val="124932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7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210</xdr:row>
      <xdr:rowOff>0</xdr:rowOff>
    </xdr:from>
    <xdr:to>
      <xdr:col>5</xdr:col>
      <xdr:colOff>1040086</xdr:colOff>
      <xdr:row>224</xdr:row>
      <xdr:rowOff>137510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26BC82-48AB-4022-AE49-5CF136093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199259</xdr:colOff>
      <xdr:row>231</xdr:row>
      <xdr:rowOff>51677</xdr:rowOff>
    </xdr:from>
    <xdr:to>
      <xdr:col>5</xdr:col>
      <xdr:colOff>983155</xdr:colOff>
      <xdr:row>246</xdr:row>
      <xdr:rowOff>3066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FF2E2A-0993-6413-DE9E-91ADF6F5B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254</xdr:row>
      <xdr:rowOff>0</xdr:rowOff>
    </xdr:from>
    <xdr:to>
      <xdr:col>5</xdr:col>
      <xdr:colOff>783896</xdr:colOff>
      <xdr:row>268</xdr:row>
      <xdr:rowOff>137510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D9F942-8173-4A41-B229-6D4D9C104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2" refreshedDate="46217.394303125002" createdVersion="8" refreshedVersion="8" minRefreshableVersion="3" recordCount="6" xr:uid="{5F7892D2-63DD-4C59-9EC2-309AA0E3D615}">
  <cacheSource type="worksheet">
    <worksheetSource ref="A1:H7" sheet="Sales_Data"/>
  </cacheSource>
  <cacheFields count="8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Total sales" numFmtId="0">
      <sharedItems containsSemiMixedTypes="0" containsString="0" containsNumber="1" containsInteger="1" minValue="450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2" refreshedDate="46217.397419675923" createdVersion="8" refreshedVersion="8" minRefreshableVersion="3" recordCount="5" xr:uid="{FDA3CD51-0BAE-436E-9F0B-422026C48106}">
  <cacheSource type="worksheet">
    <worksheetSource ref="A1:H6" sheet="Student_Marks"/>
  </cacheSource>
  <cacheFields count="8">
    <cacheField name="Student_ID" numFmtId="0">
      <sharedItems containsSemiMixedTypes="0" containsString="0" containsNumber="1" containsInteger="1" minValue="1" maxValue="5"/>
    </cacheField>
    <cacheField name="Name" numFmtId="0">
      <sharedItems count="5">
        <s v="Rahul"/>
        <s v="Sneha"/>
        <s v="Arjun"/>
        <s v="Pooja"/>
        <s v="Vikas"/>
      </sharedItems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 count="5">
        <n v="85"/>
        <n v="90"/>
        <n v="72"/>
        <n v="94"/>
        <n v="58"/>
      </sharedItems>
    </cacheField>
    <cacheField name="Attendance_%" numFmtId="0">
      <sharedItems containsSemiMixedTypes="0" containsString="0" containsNumber="1" containsInteger="1" minValue="80" maxValue="98"/>
    </cacheField>
    <cacheField name="Total marks" numFmtId="0">
      <sharedItems containsSemiMixedTypes="0" containsString="0" containsNumber="1" containsInteger="1" minValue="173" maxValue="275"/>
    </cacheField>
    <cacheField name="average" numFmtId="0">
      <sharedItems containsSemiMixedTypes="0" containsString="0" containsNumber="1" minValue="57.666666666666664" maxValue="91.6666666666666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n v="90000"/>
  </r>
  <r>
    <n v="302"/>
    <x v="1"/>
    <s v="Riya"/>
    <x v="1"/>
    <n v="5"/>
    <n v="15000"/>
    <s v="07-01-2025"/>
    <n v="75000"/>
  </r>
  <r>
    <n v="303"/>
    <x v="2"/>
    <s v="Kunal"/>
    <x v="2"/>
    <n v="3"/>
    <n v="18000"/>
    <s v="10-01-2025"/>
    <n v="54000"/>
  </r>
  <r>
    <n v="304"/>
    <x v="3"/>
    <s v="Neha"/>
    <x v="0"/>
    <n v="1"/>
    <n v="45000"/>
    <s v="12-01-2025"/>
    <n v="45000"/>
  </r>
  <r>
    <n v="305"/>
    <x v="0"/>
    <s v="Amit"/>
    <x v="1"/>
    <n v="4"/>
    <n v="15000"/>
    <s v="15-01-2025"/>
    <n v="60000"/>
  </r>
  <r>
    <n v="306"/>
    <x v="1"/>
    <s v="Riya"/>
    <x v="0"/>
    <n v="2"/>
    <n v="45000"/>
    <s v="18-01-2025"/>
    <n v="9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n v="78"/>
    <n v="82"/>
    <x v="0"/>
    <n v="92"/>
    <n v="245"/>
    <n v="81.666666666666671"/>
  </r>
  <r>
    <n v="2"/>
    <x v="1"/>
    <n v="88"/>
    <n v="91"/>
    <x v="1"/>
    <n v="96"/>
    <n v="269"/>
    <n v="89.666666666666671"/>
  </r>
  <r>
    <n v="3"/>
    <x v="2"/>
    <n v="65"/>
    <n v="70"/>
    <x v="2"/>
    <n v="85"/>
    <n v="207"/>
    <n v="69"/>
  </r>
  <r>
    <n v="4"/>
    <x v="3"/>
    <n v="92"/>
    <n v="89"/>
    <x v="3"/>
    <n v="98"/>
    <n v="275"/>
    <n v="91.666666666666671"/>
  </r>
  <r>
    <n v="5"/>
    <x v="4"/>
    <n v="55"/>
    <n v="60"/>
    <x v="4"/>
    <n v="80"/>
    <n v="173"/>
    <n v="57.6666666666666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E06CF-E47D-41D0-9E8B-AF473584EB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12:G16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C8A0F-5168-4F1F-9ACA-CEEF3C2B967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I13:J18" firstHeaderRow="1" firstDataRow="1" firstDataCol="1"/>
  <pivotFields count="8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B00E9-DF9F-4406-BE83-8316491242B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C190:D194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DED42-13AD-4EDC-805C-A9CB6B5F449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13:C19" firstHeaderRow="1" firstDataRow="1" firstDataCol="1"/>
  <pivotFields count="8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dataField="1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cel" fld="4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0CCF-787D-447E-B06A-600B7B116596}">
  <dimension ref="A1:L92"/>
  <sheetViews>
    <sheetView workbookViewId="0">
      <selection sqref="A1:A4"/>
    </sheetView>
  </sheetViews>
  <sheetFormatPr defaultRowHeight="15" x14ac:dyDescent="0.25"/>
  <cols>
    <col min="1" max="1" width="62" bestFit="1" customWidth="1"/>
    <col min="2" max="2" width="20.5703125" customWidth="1"/>
    <col min="3" max="3" width="7" bestFit="1" customWidth="1"/>
  </cols>
  <sheetData>
    <row r="1" spans="1:2" x14ac:dyDescent="0.25">
      <c r="A1" t="s">
        <v>42</v>
      </c>
      <c r="B1">
        <v>2</v>
      </c>
    </row>
    <row r="2" spans="1:2" x14ac:dyDescent="0.25">
      <c r="A2" t="s">
        <v>43</v>
      </c>
      <c r="B2">
        <v>2</v>
      </c>
    </row>
    <row r="3" spans="1:2" x14ac:dyDescent="0.25">
      <c r="A3" t="s">
        <v>44</v>
      </c>
      <c r="B3">
        <v>2</v>
      </c>
    </row>
    <row r="4" spans="1:2" x14ac:dyDescent="0.25">
      <c r="A4" t="s">
        <v>45</v>
      </c>
      <c r="B4">
        <v>2</v>
      </c>
    </row>
    <row r="5" spans="1:2" x14ac:dyDescent="0.25">
      <c r="A5" t="s">
        <v>46</v>
      </c>
      <c r="B5">
        <v>2</v>
      </c>
    </row>
    <row r="6" spans="1:2" x14ac:dyDescent="0.25">
      <c r="A6" t="s">
        <v>47</v>
      </c>
      <c r="B6">
        <v>2</v>
      </c>
    </row>
    <row r="7" spans="1:2" x14ac:dyDescent="0.25">
      <c r="A7" t="s">
        <v>48</v>
      </c>
      <c r="B7">
        <v>2</v>
      </c>
    </row>
    <row r="8" spans="1:2" x14ac:dyDescent="0.25">
      <c r="A8" t="s">
        <v>49</v>
      </c>
      <c r="B8">
        <v>2</v>
      </c>
    </row>
    <row r="9" spans="1:2" x14ac:dyDescent="0.25">
      <c r="A9" t="s">
        <v>50</v>
      </c>
      <c r="B9">
        <v>2</v>
      </c>
    </row>
    <row r="10" spans="1:2" x14ac:dyDescent="0.25">
      <c r="A10" t="s">
        <v>51</v>
      </c>
      <c r="B10">
        <v>2</v>
      </c>
    </row>
    <row r="11" spans="1:2" x14ac:dyDescent="0.25">
      <c r="A11" t="s">
        <v>52</v>
      </c>
      <c r="B11">
        <v>2</v>
      </c>
    </row>
    <row r="12" spans="1:2" x14ac:dyDescent="0.25">
      <c r="A12" t="s">
        <v>53</v>
      </c>
      <c r="B12">
        <v>2</v>
      </c>
    </row>
    <row r="13" spans="1:2" x14ac:dyDescent="0.25">
      <c r="A13" t="s">
        <v>54</v>
      </c>
      <c r="B13">
        <v>2</v>
      </c>
    </row>
    <row r="14" spans="1:2" x14ac:dyDescent="0.25">
      <c r="A14" t="s">
        <v>55</v>
      </c>
      <c r="B14">
        <v>2</v>
      </c>
    </row>
    <row r="15" spans="1:2" x14ac:dyDescent="0.25">
      <c r="A15" t="s">
        <v>56</v>
      </c>
      <c r="B15">
        <v>2</v>
      </c>
    </row>
    <row r="16" spans="1:2" x14ac:dyDescent="0.25">
      <c r="A16" t="s">
        <v>57</v>
      </c>
      <c r="B16">
        <v>2</v>
      </c>
    </row>
    <row r="17" spans="1:2" x14ac:dyDescent="0.25">
      <c r="A17" t="s">
        <v>58</v>
      </c>
      <c r="B17">
        <v>2</v>
      </c>
    </row>
    <row r="18" spans="1:2" x14ac:dyDescent="0.25">
      <c r="A18" t="s">
        <v>59</v>
      </c>
      <c r="B18">
        <v>2</v>
      </c>
    </row>
    <row r="19" spans="1:2" x14ac:dyDescent="0.25">
      <c r="A19" t="s">
        <v>60</v>
      </c>
      <c r="B19">
        <v>2</v>
      </c>
    </row>
    <row r="20" spans="1:2" x14ac:dyDescent="0.25">
      <c r="A20" t="s">
        <v>61</v>
      </c>
      <c r="B20">
        <v>2</v>
      </c>
    </row>
    <row r="21" spans="1:2" x14ac:dyDescent="0.25">
      <c r="A21" t="s">
        <v>62</v>
      </c>
      <c r="B21">
        <v>2</v>
      </c>
    </row>
    <row r="22" spans="1:2" x14ac:dyDescent="0.25">
      <c r="A22" t="s">
        <v>63</v>
      </c>
      <c r="B22">
        <v>2</v>
      </c>
    </row>
    <row r="23" spans="1:2" x14ac:dyDescent="0.25">
      <c r="A23" t="s">
        <v>64</v>
      </c>
      <c r="B23">
        <v>2</v>
      </c>
    </row>
    <row r="24" spans="1:2" x14ac:dyDescent="0.25">
      <c r="A24" t="s">
        <v>65</v>
      </c>
      <c r="B24">
        <v>2</v>
      </c>
    </row>
    <row r="25" spans="1:2" x14ac:dyDescent="0.25">
      <c r="A25" t="s">
        <v>66</v>
      </c>
      <c r="B25">
        <v>2</v>
      </c>
    </row>
    <row r="26" spans="1:2" x14ac:dyDescent="0.25">
      <c r="A26" t="s">
        <v>67</v>
      </c>
      <c r="B26">
        <v>2</v>
      </c>
    </row>
    <row r="27" spans="1:2" x14ac:dyDescent="0.25">
      <c r="A27" t="s">
        <v>68</v>
      </c>
      <c r="B27">
        <v>2</v>
      </c>
    </row>
    <row r="28" spans="1:2" x14ac:dyDescent="0.25">
      <c r="A28" t="s">
        <v>69</v>
      </c>
      <c r="B28">
        <v>2</v>
      </c>
    </row>
    <row r="29" spans="1:2" x14ac:dyDescent="0.25">
      <c r="A29" t="s">
        <v>70</v>
      </c>
      <c r="B29">
        <v>2</v>
      </c>
    </row>
    <row r="30" spans="1:2" x14ac:dyDescent="0.25">
      <c r="A30" t="s">
        <v>71</v>
      </c>
      <c r="B30">
        <v>2</v>
      </c>
    </row>
    <row r="31" spans="1:2" x14ac:dyDescent="0.25">
      <c r="B31">
        <f>SUM(B1:B30)</f>
        <v>60</v>
      </c>
    </row>
    <row r="37" spans="1:12" ht="15.75" thickBot="1" x14ac:dyDescent="0.3"/>
    <row r="38" spans="1:12" x14ac:dyDescent="0.25">
      <c r="F38" s="15" t="s">
        <v>73</v>
      </c>
      <c r="G38" s="16"/>
      <c r="H38" s="16"/>
      <c r="I38" s="16"/>
      <c r="J38" s="16"/>
      <c r="K38" s="16"/>
      <c r="L38" s="17"/>
    </row>
    <row r="39" spans="1:12" ht="15.75" thickBot="1" x14ac:dyDescent="0.3">
      <c r="F39" s="18"/>
      <c r="G39" s="19"/>
      <c r="H39" s="19"/>
      <c r="I39" s="19"/>
      <c r="J39" s="19"/>
      <c r="K39" s="19"/>
      <c r="L39" s="20"/>
    </row>
    <row r="42" spans="1:12" x14ac:dyDescent="0.25">
      <c r="A42" t="s">
        <v>74</v>
      </c>
      <c r="B42" t="s">
        <v>42</v>
      </c>
    </row>
    <row r="43" spans="1:12" ht="15.75" thickBot="1" x14ac:dyDescent="0.3"/>
    <row r="44" spans="1:12" ht="16.5" thickBot="1" x14ac:dyDescent="0.3">
      <c r="B44" s="3" t="s">
        <v>75</v>
      </c>
    </row>
    <row r="45" spans="1:12" ht="15.75" x14ac:dyDescent="0.25">
      <c r="B45" s="1" cm="1">
        <f t="array" ref="B45:B50">Sales_Data!E2:E7*Sales_Data!F2:F7</f>
        <v>90000</v>
      </c>
    </row>
    <row r="46" spans="1:12" ht="15.75" x14ac:dyDescent="0.25">
      <c r="B46" s="2">
        <v>75000</v>
      </c>
    </row>
    <row r="47" spans="1:12" ht="15.75" x14ac:dyDescent="0.25">
      <c r="B47" s="2">
        <v>54000</v>
      </c>
    </row>
    <row r="48" spans="1:12" ht="15.75" x14ac:dyDescent="0.25">
      <c r="B48" s="2">
        <v>45000</v>
      </c>
    </row>
    <row r="49" spans="1:3" ht="15.75" x14ac:dyDescent="0.25">
      <c r="B49" s="2">
        <v>60000</v>
      </c>
    </row>
    <row r="50" spans="1:3" ht="15.75" x14ac:dyDescent="0.25">
      <c r="B50" s="2">
        <v>90000</v>
      </c>
    </row>
    <row r="52" spans="1:3" x14ac:dyDescent="0.25">
      <c r="A52" t="s">
        <v>76</v>
      </c>
      <c r="B52" t="s">
        <v>77</v>
      </c>
    </row>
    <row r="53" spans="1:3" x14ac:dyDescent="0.25">
      <c r="C53" s="4"/>
    </row>
    <row r="54" spans="1:3" x14ac:dyDescent="0.25">
      <c r="B54" t="s">
        <v>13</v>
      </c>
      <c r="C54">
        <f>VLOOKUP(B54,Product_Master!A1:C4,3)</f>
        <v>18</v>
      </c>
    </row>
    <row r="56" spans="1:3" x14ac:dyDescent="0.25">
      <c r="A56" t="s">
        <v>78</v>
      </c>
      <c r="B56" t="s">
        <v>79</v>
      </c>
    </row>
    <row r="58" spans="1:3" x14ac:dyDescent="0.25">
      <c r="B58" t="s">
        <v>82</v>
      </c>
      <c r="C58">
        <f>SUM(_xlfn.ANCHORARRAY(B45))</f>
        <v>414000</v>
      </c>
    </row>
    <row r="60" spans="1:3" x14ac:dyDescent="0.25">
      <c r="A60" t="s">
        <v>7</v>
      </c>
      <c r="B60" t="s">
        <v>90</v>
      </c>
      <c r="C60" t="s">
        <v>29</v>
      </c>
    </row>
    <row r="61" spans="1:3" x14ac:dyDescent="0.25">
      <c r="A61" t="s">
        <v>13</v>
      </c>
      <c r="B61">
        <v>45000</v>
      </c>
      <c r="C61">
        <v>18</v>
      </c>
    </row>
    <row r="62" spans="1:3" x14ac:dyDescent="0.25">
      <c r="A62" t="s">
        <v>17</v>
      </c>
      <c r="B62">
        <v>15000</v>
      </c>
      <c r="C62">
        <v>12</v>
      </c>
    </row>
    <row r="63" spans="1:3" x14ac:dyDescent="0.25">
      <c r="A63" t="s">
        <v>21</v>
      </c>
      <c r="C63">
        <v>12</v>
      </c>
    </row>
    <row r="67" spans="1:2" x14ac:dyDescent="0.25">
      <c r="A67" t="s">
        <v>80</v>
      </c>
      <c r="B67" t="s">
        <v>81</v>
      </c>
    </row>
    <row r="78" spans="1:2" x14ac:dyDescent="0.25">
      <c r="A78" t="s">
        <v>84</v>
      </c>
      <c r="B78" t="s">
        <v>85</v>
      </c>
    </row>
    <row r="80" spans="1:2" x14ac:dyDescent="0.25">
      <c r="B80" t="s">
        <v>86</v>
      </c>
    </row>
    <row r="81" spans="1:2" x14ac:dyDescent="0.25">
      <c r="B81">
        <f>COUNTA(Sales_Data!A2:A7)</f>
        <v>6</v>
      </c>
    </row>
    <row r="83" spans="1:2" x14ac:dyDescent="0.25">
      <c r="A83" t="s">
        <v>87</v>
      </c>
      <c r="B83" t="s">
        <v>88</v>
      </c>
    </row>
    <row r="92" spans="1:2" x14ac:dyDescent="0.25">
      <c r="A92" t="s">
        <v>89</v>
      </c>
      <c r="B92" t="s">
        <v>48</v>
      </c>
    </row>
  </sheetData>
  <mergeCells count="1">
    <mergeCell ref="F38:L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E12" sqref="E12"/>
    </sheetView>
  </sheetViews>
  <sheetFormatPr defaultRowHeight="15" x14ac:dyDescent="0.25"/>
  <cols>
    <col min="2" max="2" width="10.5703125" bestFit="1" customWidth="1"/>
  </cols>
  <sheetData>
    <row r="1" spans="1:5" x14ac:dyDescent="0.25">
      <c r="A1" t="s">
        <v>7</v>
      </c>
      <c r="B1" t="s">
        <v>28</v>
      </c>
      <c r="C1" t="s">
        <v>29</v>
      </c>
    </row>
    <row r="2" spans="1:5" x14ac:dyDescent="0.25">
      <c r="A2" t="s">
        <v>13</v>
      </c>
      <c r="B2" t="s">
        <v>30</v>
      </c>
      <c r="C2">
        <v>18</v>
      </c>
    </row>
    <row r="3" spans="1:5" x14ac:dyDescent="0.25">
      <c r="A3" t="s">
        <v>17</v>
      </c>
      <c r="B3" t="s">
        <v>30</v>
      </c>
      <c r="C3">
        <v>12</v>
      </c>
    </row>
    <row r="4" spans="1:5" x14ac:dyDescent="0.25">
      <c r="A4" t="s">
        <v>21</v>
      </c>
      <c r="B4" t="s">
        <v>30</v>
      </c>
      <c r="C4">
        <v>12</v>
      </c>
    </row>
    <row r="7" spans="1:5" x14ac:dyDescent="0.25">
      <c r="D7" t="s">
        <v>13</v>
      </c>
      <c r="E7" t="e">
        <f>INDEX(A1:C4,MATCH(D7,A1:C4,0))</f>
        <v>#N/A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pane ySplit="1" topLeftCell="A2" activePane="bottomLeft" state="frozen"/>
      <selection pane="bottomLeft" activeCell="K5" sqref="K5"/>
    </sheetView>
  </sheetViews>
  <sheetFormatPr defaultRowHeight="15" x14ac:dyDescent="0.25"/>
  <cols>
    <col min="1" max="1" width="9" bestFit="1" customWidth="1"/>
    <col min="2" max="2" width="7.140625" bestFit="1" customWidth="1"/>
    <col min="3" max="3" width="11.7109375" bestFit="1" customWidth="1"/>
    <col min="4" max="4" width="7.85546875" bestFit="1" customWidth="1"/>
    <col min="5" max="5" width="8.7109375" bestFit="1" customWidth="1"/>
    <col min="6" max="6" width="11.28515625" bestFit="1" customWidth="1"/>
    <col min="7" max="7" width="17" bestFit="1" customWidth="1"/>
    <col min="8" max="8" width="10.28515625" bestFit="1" customWidth="1"/>
    <col min="9" max="9" width="13.140625" bestFit="1" customWidth="1"/>
    <col min="10" max="10" width="17" bestFit="1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75</v>
      </c>
      <c r="I1" t="s">
        <v>83</v>
      </c>
    </row>
    <row r="2" spans="1:10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H2" cm="1">
        <f t="array" ref="H2:H7">E2:E7*F2:F7</f>
        <v>90000</v>
      </c>
    </row>
    <row r="3" spans="1:10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H3">
        <v>75000</v>
      </c>
    </row>
    <row r="4" spans="1:10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H4">
        <v>54000</v>
      </c>
    </row>
    <row r="5" spans="1:10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H5">
        <v>45000</v>
      </c>
    </row>
    <row r="6" spans="1:10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H6">
        <v>60000</v>
      </c>
    </row>
    <row r="7" spans="1:10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H7">
        <v>90000</v>
      </c>
    </row>
    <row r="12" spans="1:10" x14ac:dyDescent="0.25">
      <c r="F12" s="8" t="s">
        <v>114</v>
      </c>
      <c r="G12" t="s">
        <v>116</v>
      </c>
    </row>
    <row r="13" spans="1:10" x14ac:dyDescent="0.25">
      <c r="F13" s="9" t="s">
        <v>13</v>
      </c>
      <c r="G13" s="10">
        <v>225000</v>
      </c>
      <c r="I13" s="8" t="s">
        <v>114</v>
      </c>
      <c r="J13" t="s">
        <v>116</v>
      </c>
    </row>
    <row r="14" spans="1:10" x14ac:dyDescent="0.25">
      <c r="F14" s="9" t="s">
        <v>17</v>
      </c>
      <c r="G14" s="10">
        <v>135000</v>
      </c>
      <c r="I14" s="9" t="s">
        <v>19</v>
      </c>
      <c r="J14" s="10">
        <v>54000</v>
      </c>
    </row>
    <row r="15" spans="1:10" x14ac:dyDescent="0.25">
      <c r="F15" s="9" t="s">
        <v>21</v>
      </c>
      <c r="G15" s="10">
        <v>54000</v>
      </c>
      <c r="I15" s="9" t="s">
        <v>11</v>
      </c>
      <c r="J15" s="10">
        <v>150000</v>
      </c>
    </row>
    <row r="16" spans="1:10" x14ac:dyDescent="0.25">
      <c r="F16" s="9" t="s">
        <v>115</v>
      </c>
      <c r="G16" s="10">
        <v>414000</v>
      </c>
      <c r="I16" s="9" t="s">
        <v>15</v>
      </c>
      <c r="J16" s="10">
        <v>165000</v>
      </c>
    </row>
    <row r="17" spans="9:10" x14ac:dyDescent="0.25">
      <c r="I17" s="9" t="s">
        <v>23</v>
      </c>
      <c r="J17" s="10">
        <v>45000</v>
      </c>
    </row>
    <row r="18" spans="9:10" x14ac:dyDescent="0.25">
      <c r="I18" s="9" t="s">
        <v>115</v>
      </c>
      <c r="J18" s="10">
        <v>414000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Q396"/>
  <sheetViews>
    <sheetView tabSelected="1" zoomScale="87" workbookViewId="0">
      <selection activeCell="D23" activeCellId="1" sqref="C97 D22:D23"/>
    </sheetView>
  </sheetViews>
  <sheetFormatPr defaultRowHeight="15" x14ac:dyDescent="0.25"/>
  <cols>
    <col min="2" max="2" width="20.5703125" customWidth="1"/>
    <col min="3" max="3" width="27.42578125" bestFit="1" customWidth="1"/>
    <col min="4" max="4" width="18.7109375" bestFit="1" customWidth="1"/>
    <col min="5" max="5" width="9.5703125" bestFit="1" customWidth="1"/>
    <col min="6" max="6" width="19.140625" bestFit="1" customWidth="1"/>
    <col min="7" max="7" width="10.140625" bestFit="1" customWidth="1"/>
    <col min="8" max="8" width="10.85546875" bestFit="1" customWidth="1"/>
    <col min="9" max="9" width="9.85546875" bestFit="1" customWidth="1"/>
    <col min="10" max="10" width="12.7109375" bestFit="1" customWidth="1"/>
    <col min="11" max="11" width="19" bestFit="1" customWidth="1"/>
    <col min="12" max="12" width="10.140625" bestFit="1" customWidth="1"/>
    <col min="13" max="13" width="9.5703125" bestFit="1" customWidth="1"/>
    <col min="14" max="14" width="8" bestFit="1" customWidth="1"/>
    <col min="15" max="15" width="11.140625" bestFit="1" customWidth="1"/>
    <col min="16" max="16" width="9.7109375" bestFit="1" customWidth="1"/>
  </cols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s="13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s="1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s="13" t="s">
        <v>67</v>
      </c>
      <c r="J26">
        <v>2</v>
      </c>
    </row>
    <row r="27" spans="1:10" x14ac:dyDescent="0.25">
      <c r="A27" s="11" t="s">
        <v>68</v>
      </c>
      <c r="J27">
        <v>2</v>
      </c>
    </row>
    <row r="28" spans="1:10" x14ac:dyDescent="0.25">
      <c r="A28" s="11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s="11" t="s">
        <v>71</v>
      </c>
      <c r="J30">
        <v>2</v>
      </c>
    </row>
    <row r="32" spans="1:10" x14ac:dyDescent="0.25">
      <c r="J32">
        <f>SUM(J1:J30)</f>
        <v>60</v>
      </c>
    </row>
    <row r="37" spans="1:12" ht="15.75" thickBot="1" x14ac:dyDescent="0.3"/>
    <row r="38" spans="1:12" x14ac:dyDescent="0.25">
      <c r="F38" s="15" t="s">
        <v>73</v>
      </c>
      <c r="G38" s="16"/>
      <c r="H38" s="16"/>
      <c r="I38" s="16"/>
      <c r="J38" s="16"/>
      <c r="K38" s="16"/>
      <c r="L38" s="17"/>
    </row>
    <row r="39" spans="1:12" ht="15.75" thickBot="1" x14ac:dyDescent="0.3">
      <c r="F39" s="18"/>
      <c r="G39" s="19"/>
      <c r="H39" s="19"/>
      <c r="I39" s="19"/>
      <c r="J39" s="19"/>
      <c r="K39" s="19"/>
      <c r="L39" s="20"/>
    </row>
    <row r="42" spans="1:12" x14ac:dyDescent="0.25">
      <c r="A42" t="s">
        <v>74</v>
      </c>
      <c r="B42" t="s">
        <v>42</v>
      </c>
    </row>
    <row r="43" spans="1:12" ht="15.75" thickBot="1" x14ac:dyDescent="0.3"/>
    <row r="44" spans="1:12" ht="16.5" thickBot="1" x14ac:dyDescent="0.3">
      <c r="B44" s="3" t="s">
        <v>75</v>
      </c>
    </row>
    <row r="45" spans="1:12" ht="15.75" x14ac:dyDescent="0.25">
      <c r="B45" s="1" cm="1">
        <f t="array" ref="B45:B50">Sales_Data!E2:E7*Sales_Data!F2:F7</f>
        <v>90000</v>
      </c>
    </row>
    <row r="46" spans="1:12" ht="15.75" x14ac:dyDescent="0.25">
      <c r="B46" s="2">
        <v>75000</v>
      </c>
    </row>
    <row r="47" spans="1:12" ht="15.75" x14ac:dyDescent="0.25">
      <c r="B47" s="2">
        <v>54000</v>
      </c>
    </row>
    <row r="48" spans="1:12" ht="15.75" x14ac:dyDescent="0.25">
      <c r="B48" s="2">
        <v>45000</v>
      </c>
    </row>
    <row r="49" spans="1:15" ht="15.75" x14ac:dyDescent="0.25">
      <c r="B49" s="2">
        <v>60000</v>
      </c>
    </row>
    <row r="50" spans="1:15" ht="15.75" x14ac:dyDescent="0.25">
      <c r="B50" s="2">
        <v>90000</v>
      </c>
    </row>
    <row r="52" spans="1:15" x14ac:dyDescent="0.25">
      <c r="A52" t="s">
        <v>76</v>
      </c>
      <c r="B52" t="s">
        <v>77</v>
      </c>
    </row>
    <row r="53" spans="1:15" x14ac:dyDescent="0.25">
      <c r="C53" s="4"/>
    </row>
    <row r="54" spans="1:15" x14ac:dyDescent="0.25">
      <c r="B54" t="s">
        <v>7</v>
      </c>
      <c r="C54" t="s">
        <v>28</v>
      </c>
      <c r="D54" t="s">
        <v>29</v>
      </c>
      <c r="F54" t="s">
        <v>4</v>
      </c>
      <c r="G54" t="s">
        <v>5</v>
      </c>
      <c r="H54" t="s">
        <v>6</v>
      </c>
      <c r="I54" t="s">
        <v>7</v>
      </c>
      <c r="J54" t="s">
        <v>8</v>
      </c>
      <c r="K54" t="s">
        <v>9</v>
      </c>
      <c r="L54" t="s">
        <v>10</v>
      </c>
      <c r="M54" t="s">
        <v>75</v>
      </c>
      <c r="N54" t="s">
        <v>91</v>
      </c>
      <c r="O54" t="s">
        <v>92</v>
      </c>
    </row>
    <row r="55" spans="1:15" x14ac:dyDescent="0.25">
      <c r="B55" t="s">
        <v>13</v>
      </c>
      <c r="C55" t="s">
        <v>30</v>
      </c>
      <c r="D55">
        <v>18</v>
      </c>
      <c r="F55">
        <v>301</v>
      </c>
      <c r="G55" t="s">
        <v>11</v>
      </c>
      <c r="H55" t="s">
        <v>12</v>
      </c>
      <c r="I55" t="s">
        <v>13</v>
      </c>
      <c r="J55">
        <v>2</v>
      </c>
      <c r="K55">
        <v>45000</v>
      </c>
      <c r="L55" t="s">
        <v>14</v>
      </c>
      <c r="M55" cm="1">
        <f t="array" ref="M55:M60">J55:J60*K55:K60</f>
        <v>90000</v>
      </c>
      <c r="N55">
        <f>VLOOKUP(I55,B54:D57,3,0)/100</f>
        <v>0.18</v>
      </c>
      <c r="O55">
        <f>M55*N55</f>
        <v>16200</v>
      </c>
    </row>
    <row r="56" spans="1:15" x14ac:dyDescent="0.25">
      <c r="B56" t="s">
        <v>17</v>
      </c>
      <c r="C56" t="s">
        <v>30</v>
      </c>
      <c r="D56">
        <v>12</v>
      </c>
      <c r="F56">
        <v>302</v>
      </c>
      <c r="G56" t="s">
        <v>15</v>
      </c>
      <c r="H56" t="s">
        <v>16</v>
      </c>
      <c r="I56" t="s">
        <v>17</v>
      </c>
      <c r="J56">
        <v>5</v>
      </c>
      <c r="K56">
        <v>15000</v>
      </c>
      <c r="L56" t="s">
        <v>18</v>
      </c>
      <c r="M56">
        <v>75000</v>
      </c>
      <c r="N56">
        <f t="shared" ref="N56:N60" si="0">VLOOKUP(I56,$B$54:$D$57,3,0)/100</f>
        <v>0.12</v>
      </c>
      <c r="O56">
        <f t="shared" ref="O56:O60" si="1">M56*N56</f>
        <v>9000</v>
      </c>
    </row>
    <row r="57" spans="1:15" x14ac:dyDescent="0.25">
      <c r="B57" t="s">
        <v>21</v>
      </c>
      <c r="C57" t="s">
        <v>30</v>
      </c>
      <c r="D57">
        <v>12</v>
      </c>
      <c r="F57">
        <v>303</v>
      </c>
      <c r="G57" t="s">
        <v>19</v>
      </c>
      <c r="H57" t="s">
        <v>20</v>
      </c>
      <c r="I57" t="s">
        <v>21</v>
      </c>
      <c r="J57">
        <v>3</v>
      </c>
      <c r="K57">
        <v>18000</v>
      </c>
      <c r="L57" t="s">
        <v>22</v>
      </c>
      <c r="M57">
        <v>54000</v>
      </c>
      <c r="N57">
        <f t="shared" si="0"/>
        <v>0.12</v>
      </c>
      <c r="O57">
        <f t="shared" si="1"/>
        <v>6480</v>
      </c>
    </row>
    <row r="58" spans="1:15" x14ac:dyDescent="0.25">
      <c r="F58">
        <v>304</v>
      </c>
      <c r="G58" t="s">
        <v>23</v>
      </c>
      <c r="H58" t="s">
        <v>24</v>
      </c>
      <c r="I58" t="s">
        <v>13</v>
      </c>
      <c r="J58">
        <v>1</v>
      </c>
      <c r="K58">
        <v>45000</v>
      </c>
      <c r="L58" t="s">
        <v>25</v>
      </c>
      <c r="M58">
        <v>45000</v>
      </c>
      <c r="N58">
        <f t="shared" si="0"/>
        <v>0.18</v>
      </c>
      <c r="O58">
        <f t="shared" si="1"/>
        <v>8100</v>
      </c>
    </row>
    <row r="59" spans="1:15" x14ac:dyDescent="0.25">
      <c r="F59">
        <v>305</v>
      </c>
      <c r="G59" t="s">
        <v>11</v>
      </c>
      <c r="H59" t="s">
        <v>12</v>
      </c>
      <c r="I59" t="s">
        <v>17</v>
      </c>
      <c r="J59">
        <v>4</v>
      </c>
      <c r="K59">
        <v>15000</v>
      </c>
      <c r="L59" t="s">
        <v>26</v>
      </c>
      <c r="M59">
        <v>60000</v>
      </c>
      <c r="N59">
        <f t="shared" si="0"/>
        <v>0.12</v>
      </c>
      <c r="O59">
        <f t="shared" si="1"/>
        <v>7200</v>
      </c>
    </row>
    <row r="60" spans="1:15" x14ac:dyDescent="0.25">
      <c r="F60">
        <v>306</v>
      </c>
      <c r="G60" t="s">
        <v>15</v>
      </c>
      <c r="H60" t="s">
        <v>16</v>
      </c>
      <c r="I60" t="s">
        <v>13</v>
      </c>
      <c r="J60">
        <v>2</v>
      </c>
      <c r="K60">
        <v>45000</v>
      </c>
      <c r="L60" t="s">
        <v>27</v>
      </c>
      <c r="M60">
        <v>90000</v>
      </c>
      <c r="N60">
        <f t="shared" si="0"/>
        <v>0.18</v>
      </c>
      <c r="O60">
        <f t="shared" si="1"/>
        <v>16200</v>
      </c>
    </row>
    <row r="64" spans="1:15" x14ac:dyDescent="0.25">
      <c r="A64" t="s">
        <v>78</v>
      </c>
      <c r="B64" t="s">
        <v>79</v>
      </c>
    </row>
    <row r="66" spans="1:17" x14ac:dyDescent="0.25">
      <c r="A66" t="s">
        <v>4</v>
      </c>
      <c r="B66" t="s">
        <v>5</v>
      </c>
      <c r="C66" t="s">
        <v>6</v>
      </c>
      <c r="D66" t="s">
        <v>7</v>
      </c>
      <c r="E66" t="s">
        <v>8</v>
      </c>
      <c r="F66" t="s">
        <v>9</v>
      </c>
      <c r="G66" t="s">
        <v>10</v>
      </c>
      <c r="H66" t="s">
        <v>75</v>
      </c>
      <c r="I66" t="s">
        <v>91</v>
      </c>
      <c r="J66" t="s">
        <v>92</v>
      </c>
      <c r="K66" t="s">
        <v>93</v>
      </c>
      <c r="O66" t="s">
        <v>7</v>
      </c>
      <c r="P66" t="s">
        <v>28</v>
      </c>
      <c r="Q66" t="s">
        <v>29</v>
      </c>
    </row>
    <row r="67" spans="1:17" x14ac:dyDescent="0.25">
      <c r="A67">
        <v>301</v>
      </c>
      <c r="B67" t="s">
        <v>11</v>
      </c>
      <c r="C67" t="s">
        <v>12</v>
      </c>
      <c r="D67" t="s">
        <v>13</v>
      </c>
      <c r="E67">
        <v>2</v>
      </c>
      <c r="F67">
        <v>45000</v>
      </c>
      <c r="G67" t="s">
        <v>14</v>
      </c>
      <c r="H67" cm="1">
        <f t="array" ref="H67:H72">E67:E72*F67:F72</f>
        <v>90000</v>
      </c>
      <c r="I67">
        <f>VLOOKUP(D67,$O$66:$Q$69,3,0)/100</f>
        <v>0.18</v>
      </c>
      <c r="J67">
        <f>H67*I67</f>
        <v>16200</v>
      </c>
      <c r="K67">
        <f>H67+J67</f>
        <v>106200</v>
      </c>
      <c r="O67" t="s">
        <v>13</v>
      </c>
      <c r="P67" t="s">
        <v>30</v>
      </c>
      <c r="Q67">
        <v>18</v>
      </c>
    </row>
    <row r="68" spans="1:17" x14ac:dyDescent="0.25">
      <c r="A68">
        <v>302</v>
      </c>
      <c r="B68" t="s">
        <v>15</v>
      </c>
      <c r="C68" t="s">
        <v>16</v>
      </c>
      <c r="D68" t="s">
        <v>17</v>
      </c>
      <c r="E68">
        <v>5</v>
      </c>
      <c r="F68">
        <v>15000</v>
      </c>
      <c r="G68" t="s">
        <v>18</v>
      </c>
      <c r="H68">
        <v>75000</v>
      </c>
      <c r="I68">
        <f t="shared" ref="I68:I72" si="2">VLOOKUP(D68,$O$66:$Q$69,3,0)/100</f>
        <v>0.12</v>
      </c>
      <c r="J68">
        <f t="shared" ref="J68:J72" si="3">H68*I68</f>
        <v>9000</v>
      </c>
      <c r="K68">
        <f t="shared" ref="K68:K72" si="4">H68+J68</f>
        <v>84000</v>
      </c>
      <c r="O68" t="s">
        <v>17</v>
      </c>
      <c r="P68" t="s">
        <v>30</v>
      </c>
      <c r="Q68">
        <v>12</v>
      </c>
    </row>
    <row r="69" spans="1:17" x14ac:dyDescent="0.25">
      <c r="A69">
        <v>303</v>
      </c>
      <c r="B69" t="s">
        <v>19</v>
      </c>
      <c r="C69" t="s">
        <v>20</v>
      </c>
      <c r="D69" t="s">
        <v>21</v>
      </c>
      <c r="E69">
        <v>3</v>
      </c>
      <c r="F69">
        <v>18000</v>
      </c>
      <c r="G69" t="s">
        <v>22</v>
      </c>
      <c r="H69">
        <v>54000</v>
      </c>
      <c r="I69">
        <f t="shared" si="2"/>
        <v>0.12</v>
      </c>
      <c r="J69">
        <f t="shared" si="3"/>
        <v>6480</v>
      </c>
      <c r="K69">
        <f t="shared" si="4"/>
        <v>60480</v>
      </c>
      <c r="O69" t="s">
        <v>21</v>
      </c>
      <c r="P69" t="s">
        <v>30</v>
      </c>
      <c r="Q69">
        <v>12</v>
      </c>
    </row>
    <row r="70" spans="1:17" x14ac:dyDescent="0.25">
      <c r="A70">
        <v>304</v>
      </c>
      <c r="B70" t="s">
        <v>23</v>
      </c>
      <c r="C70" t="s">
        <v>24</v>
      </c>
      <c r="D70" t="s">
        <v>13</v>
      </c>
      <c r="E70">
        <v>1</v>
      </c>
      <c r="F70">
        <v>45000</v>
      </c>
      <c r="G70" t="s">
        <v>25</v>
      </c>
      <c r="H70">
        <v>45000</v>
      </c>
      <c r="I70">
        <f t="shared" si="2"/>
        <v>0.18</v>
      </c>
      <c r="J70">
        <f t="shared" si="3"/>
        <v>8100</v>
      </c>
      <c r="K70">
        <f t="shared" si="4"/>
        <v>53100</v>
      </c>
    </row>
    <row r="71" spans="1:17" x14ac:dyDescent="0.25">
      <c r="A71">
        <v>305</v>
      </c>
      <c r="B71" t="s">
        <v>11</v>
      </c>
      <c r="C71" t="s">
        <v>12</v>
      </c>
      <c r="D71" t="s">
        <v>17</v>
      </c>
      <c r="E71">
        <v>4</v>
      </c>
      <c r="F71">
        <v>15000</v>
      </c>
      <c r="G71" t="s">
        <v>26</v>
      </c>
      <c r="H71">
        <v>60000</v>
      </c>
      <c r="I71">
        <f t="shared" si="2"/>
        <v>0.12</v>
      </c>
      <c r="J71">
        <f t="shared" si="3"/>
        <v>7200</v>
      </c>
      <c r="K71">
        <f t="shared" si="4"/>
        <v>67200</v>
      </c>
    </row>
    <row r="72" spans="1:17" x14ac:dyDescent="0.25">
      <c r="A72">
        <v>306</v>
      </c>
      <c r="B72" t="s">
        <v>15</v>
      </c>
      <c r="C72" t="s">
        <v>16</v>
      </c>
      <c r="D72" t="s">
        <v>13</v>
      </c>
      <c r="E72">
        <v>2</v>
      </c>
      <c r="F72">
        <v>45000</v>
      </c>
      <c r="G72" t="s">
        <v>27</v>
      </c>
      <c r="H72">
        <v>90000</v>
      </c>
      <c r="I72">
        <f t="shared" si="2"/>
        <v>0.18</v>
      </c>
      <c r="J72">
        <f t="shared" si="3"/>
        <v>16200</v>
      </c>
      <c r="K72">
        <f t="shared" si="4"/>
        <v>106200</v>
      </c>
    </row>
    <row r="75" spans="1:17" x14ac:dyDescent="0.25">
      <c r="A75" t="s">
        <v>80</v>
      </c>
      <c r="B75" t="s">
        <v>81</v>
      </c>
    </row>
    <row r="77" spans="1:17" x14ac:dyDescent="0.25">
      <c r="A77" t="s">
        <v>4</v>
      </c>
      <c r="B77" t="s">
        <v>5</v>
      </c>
      <c r="C77" t="s">
        <v>6</v>
      </c>
      <c r="D77" t="s">
        <v>7</v>
      </c>
      <c r="E77" t="s">
        <v>8</v>
      </c>
      <c r="F77" t="s">
        <v>9</v>
      </c>
      <c r="G77" t="s">
        <v>10</v>
      </c>
      <c r="H77" t="s">
        <v>75</v>
      </c>
      <c r="I77" t="s">
        <v>91</v>
      </c>
      <c r="J77" t="s">
        <v>92</v>
      </c>
      <c r="K77" t="s">
        <v>93</v>
      </c>
    </row>
    <row r="78" spans="1:17" x14ac:dyDescent="0.25">
      <c r="A78">
        <v>301</v>
      </c>
      <c r="B78" t="s">
        <v>11</v>
      </c>
      <c r="C78" t="s">
        <v>12</v>
      </c>
      <c r="D78" t="s">
        <v>13</v>
      </c>
      <c r="E78">
        <v>2</v>
      </c>
      <c r="F78">
        <v>45000</v>
      </c>
      <c r="G78" t="s">
        <v>14</v>
      </c>
      <c r="H78" cm="1">
        <f t="array" ref="H78:H83">E78:E83*F78:F83</f>
        <v>90000</v>
      </c>
      <c r="I78">
        <f>VLOOKUP(D78,$O$66:$Q$69,3,0)/100</f>
        <v>0.18</v>
      </c>
      <c r="J78">
        <f>H78*I78</f>
        <v>16200</v>
      </c>
      <c r="K78">
        <f>H78+J78</f>
        <v>106200</v>
      </c>
    </row>
    <row r="79" spans="1:17" x14ac:dyDescent="0.25">
      <c r="A79">
        <v>302</v>
      </c>
      <c r="B79" t="s">
        <v>15</v>
      </c>
      <c r="C79" t="s">
        <v>16</v>
      </c>
      <c r="D79" t="s">
        <v>17</v>
      </c>
      <c r="E79">
        <v>5</v>
      </c>
      <c r="F79">
        <v>15000</v>
      </c>
      <c r="G79" t="s">
        <v>18</v>
      </c>
      <c r="H79">
        <v>75000</v>
      </c>
      <c r="I79">
        <f t="shared" ref="I79:I83" si="5">VLOOKUP(D79,$O$66:$Q$69,3,0)/100</f>
        <v>0.12</v>
      </c>
      <c r="J79">
        <f t="shared" ref="J79:J83" si="6">H79*I79</f>
        <v>9000</v>
      </c>
      <c r="K79">
        <f t="shared" ref="K79:K83" si="7">H79+J79</f>
        <v>84000</v>
      </c>
    </row>
    <row r="80" spans="1:17" x14ac:dyDescent="0.25">
      <c r="A80">
        <v>303</v>
      </c>
      <c r="B80" t="s">
        <v>19</v>
      </c>
      <c r="C80" t="s">
        <v>20</v>
      </c>
      <c r="D80" t="s">
        <v>21</v>
      </c>
      <c r="E80">
        <v>3</v>
      </c>
      <c r="F80">
        <v>18000</v>
      </c>
      <c r="G80" t="s">
        <v>22</v>
      </c>
      <c r="H80">
        <v>54000</v>
      </c>
      <c r="I80">
        <f t="shared" si="5"/>
        <v>0.12</v>
      </c>
      <c r="J80">
        <f t="shared" si="6"/>
        <v>6480</v>
      </c>
      <c r="K80">
        <f t="shared" si="7"/>
        <v>60480</v>
      </c>
    </row>
    <row r="81" spans="1:11" x14ac:dyDescent="0.25">
      <c r="A81">
        <v>304</v>
      </c>
      <c r="B81" t="s">
        <v>23</v>
      </c>
      <c r="C81" t="s">
        <v>24</v>
      </c>
      <c r="D81" t="s">
        <v>13</v>
      </c>
      <c r="E81">
        <v>1</v>
      </c>
      <c r="F81">
        <v>45000</v>
      </c>
      <c r="G81" t="s">
        <v>25</v>
      </c>
      <c r="H81">
        <v>45000</v>
      </c>
      <c r="I81">
        <f t="shared" si="5"/>
        <v>0.18</v>
      </c>
      <c r="J81">
        <f t="shared" si="6"/>
        <v>8100</v>
      </c>
      <c r="K81">
        <f t="shared" si="7"/>
        <v>53100</v>
      </c>
    </row>
    <row r="82" spans="1:11" x14ac:dyDescent="0.25">
      <c r="A82">
        <v>305</v>
      </c>
      <c r="B82" t="s">
        <v>11</v>
      </c>
      <c r="C82" t="s">
        <v>12</v>
      </c>
      <c r="D82" t="s">
        <v>17</v>
      </c>
      <c r="E82">
        <v>4</v>
      </c>
      <c r="F82">
        <v>15000</v>
      </c>
      <c r="G82" t="s">
        <v>26</v>
      </c>
      <c r="H82">
        <v>60000</v>
      </c>
      <c r="I82">
        <f t="shared" si="5"/>
        <v>0.12</v>
      </c>
      <c r="J82">
        <f t="shared" si="6"/>
        <v>7200</v>
      </c>
      <c r="K82">
        <f t="shared" si="7"/>
        <v>67200</v>
      </c>
    </row>
    <row r="83" spans="1:11" x14ac:dyDescent="0.25">
      <c r="A83">
        <v>306</v>
      </c>
      <c r="B83" t="s">
        <v>15</v>
      </c>
      <c r="C83" t="s">
        <v>16</v>
      </c>
      <c r="D83" t="s">
        <v>13</v>
      </c>
      <c r="E83">
        <v>2</v>
      </c>
      <c r="F83">
        <v>45000</v>
      </c>
      <c r="G83" t="s">
        <v>27</v>
      </c>
      <c r="H83">
        <v>90000</v>
      </c>
      <c r="I83">
        <f t="shared" si="5"/>
        <v>0.18</v>
      </c>
      <c r="J83">
        <f t="shared" si="6"/>
        <v>16200</v>
      </c>
      <c r="K83">
        <f t="shared" si="7"/>
        <v>106200</v>
      </c>
    </row>
    <row r="84" spans="1:11" x14ac:dyDescent="0.25">
      <c r="J84" t="s">
        <v>94</v>
      </c>
      <c r="K84">
        <f>SUM(K78:K83)</f>
        <v>477180</v>
      </c>
    </row>
    <row r="86" spans="1:11" x14ac:dyDescent="0.25">
      <c r="A86" t="s">
        <v>84</v>
      </c>
      <c r="B86" t="s">
        <v>85</v>
      </c>
    </row>
    <row r="88" spans="1:11" x14ac:dyDescent="0.25">
      <c r="B88" t="s">
        <v>86</v>
      </c>
    </row>
    <row r="89" spans="1:11" x14ac:dyDescent="0.25">
      <c r="B89">
        <f>COUNTA(Sales_Data!A2:A7)</f>
        <v>6</v>
      </c>
    </row>
    <row r="91" spans="1:11" x14ac:dyDescent="0.25">
      <c r="A91" t="s">
        <v>87</v>
      </c>
      <c r="B91" t="s">
        <v>88</v>
      </c>
    </row>
    <row r="93" spans="1:11" x14ac:dyDescent="0.25">
      <c r="B93" t="s">
        <v>96</v>
      </c>
    </row>
    <row r="101" spans="1:11" x14ac:dyDescent="0.25">
      <c r="A101" t="s">
        <v>89</v>
      </c>
      <c r="B101" t="s">
        <v>95</v>
      </c>
    </row>
    <row r="103" spans="1:11" x14ac:dyDescent="0.25">
      <c r="B103" t="s">
        <v>4</v>
      </c>
      <c r="C103" t="s">
        <v>5</v>
      </c>
      <c r="D103" t="s">
        <v>6</v>
      </c>
      <c r="E103" t="s">
        <v>7</v>
      </c>
      <c r="F103" t="s">
        <v>8</v>
      </c>
      <c r="G103" t="s">
        <v>9</v>
      </c>
      <c r="H103" t="s">
        <v>10</v>
      </c>
      <c r="J103" t="s">
        <v>97</v>
      </c>
      <c r="K103" t="s">
        <v>98</v>
      </c>
    </row>
    <row r="104" spans="1:11" x14ac:dyDescent="0.25">
      <c r="B104">
        <v>301</v>
      </c>
      <c r="C104" t="s">
        <v>11</v>
      </c>
      <c r="D104" t="s">
        <v>12</v>
      </c>
      <c r="E104" t="s">
        <v>13</v>
      </c>
      <c r="F104">
        <v>2</v>
      </c>
      <c r="G104">
        <v>45000</v>
      </c>
      <c r="H104" t="s">
        <v>14</v>
      </c>
      <c r="J104" t="e" cm="1" vm="1">
        <f t="array" aca="1" ref="J104" ca="1">IF(F104:F109&gt;3,"high","LOW")</f>
        <v>#VALUE!</v>
      </c>
      <c r="K104" t="str" cm="1">
        <f t="array" ref="K104:K109">IF(F104:F109&lt;=3,"LOW","HIGH")</f>
        <v>LOW</v>
      </c>
    </row>
    <row r="105" spans="1:11" x14ac:dyDescent="0.25">
      <c r="B105">
        <v>302</v>
      </c>
      <c r="C105" t="s">
        <v>15</v>
      </c>
      <c r="D105" t="s">
        <v>16</v>
      </c>
      <c r="E105" t="s">
        <v>17</v>
      </c>
      <c r="F105">
        <v>5</v>
      </c>
      <c r="G105">
        <v>15000</v>
      </c>
      <c r="H105" t="s">
        <v>18</v>
      </c>
      <c r="J105" t="str" cm="1">
        <f t="array" ref="J105">IF(OR(F105:F110&gt;=3,"HIGH"),"LOW")</f>
        <v>LOW</v>
      </c>
      <c r="K105" t="str">
        <v>HIGH</v>
      </c>
    </row>
    <row r="106" spans="1:11" x14ac:dyDescent="0.25">
      <c r="B106">
        <v>303</v>
      </c>
      <c r="C106" t="s">
        <v>19</v>
      </c>
      <c r="D106" t="s">
        <v>20</v>
      </c>
      <c r="E106" t="s">
        <v>21</v>
      </c>
      <c r="F106">
        <v>3</v>
      </c>
      <c r="G106">
        <v>18000</v>
      </c>
      <c r="H106" t="s">
        <v>22</v>
      </c>
      <c r="J106" t="str" cm="1">
        <f t="array" ref="J106">IF(OR(F106:F111&gt;=3,"HIGH"),"LOW")</f>
        <v>LOW</v>
      </c>
      <c r="K106" t="str">
        <v>LOW</v>
      </c>
    </row>
    <row r="107" spans="1:11" x14ac:dyDescent="0.25">
      <c r="B107">
        <v>304</v>
      </c>
      <c r="C107" t="s">
        <v>23</v>
      </c>
      <c r="D107" t="s">
        <v>24</v>
      </c>
      <c r="E107" t="s">
        <v>13</v>
      </c>
      <c r="F107">
        <v>1</v>
      </c>
      <c r="G107">
        <v>45000</v>
      </c>
      <c r="H107" t="s">
        <v>25</v>
      </c>
      <c r="J107" t="str" cm="1">
        <f t="array" ref="J107">IF(OR(F107:F112&gt;=3,"HIGH"),"LOW")</f>
        <v>LOW</v>
      </c>
      <c r="K107" t="str">
        <v>LOW</v>
      </c>
    </row>
    <row r="108" spans="1:11" x14ac:dyDescent="0.25">
      <c r="B108">
        <v>305</v>
      </c>
      <c r="C108" t="s">
        <v>11</v>
      </c>
      <c r="D108" t="s">
        <v>12</v>
      </c>
      <c r="E108" t="s">
        <v>17</v>
      </c>
      <c r="F108">
        <v>4</v>
      </c>
      <c r="G108">
        <v>15000</v>
      </c>
      <c r="H108" t="s">
        <v>26</v>
      </c>
      <c r="J108" t="str" cm="1">
        <f t="array" ref="J108">IF(OR(F108:F113&gt;=3,"HIGH"),"LOW")</f>
        <v>LOW</v>
      </c>
      <c r="K108" t="str">
        <v>HIGH</v>
      </c>
    </row>
    <row r="109" spans="1:11" x14ac:dyDescent="0.25">
      <c r="B109">
        <v>306</v>
      </c>
      <c r="C109" t="s">
        <v>15</v>
      </c>
      <c r="D109" t="s">
        <v>16</v>
      </c>
      <c r="E109" t="s">
        <v>13</v>
      </c>
      <c r="F109">
        <v>2</v>
      </c>
      <c r="G109">
        <v>45000</v>
      </c>
      <c r="H109" t="s">
        <v>27</v>
      </c>
      <c r="J109" t="b" cm="1">
        <f t="array" ref="J109">IF(OR(F109:F114&gt;=3,"HIGH"),"LOW")</f>
        <v>0</v>
      </c>
      <c r="K109" t="str">
        <v>LOW</v>
      </c>
    </row>
    <row r="112" spans="1:11" x14ac:dyDescent="0.25">
      <c r="A112" t="s">
        <v>99</v>
      </c>
      <c r="B112" t="s">
        <v>100</v>
      </c>
    </row>
    <row r="114" spans="1:4" x14ac:dyDescent="0.25">
      <c r="B114" t="s">
        <v>93</v>
      </c>
      <c r="C114" t="s">
        <v>101</v>
      </c>
      <c r="D114" t="s">
        <v>102</v>
      </c>
    </row>
    <row r="115" spans="1:4" x14ac:dyDescent="0.25">
      <c r="B115">
        <f>J67+H67</f>
        <v>106200</v>
      </c>
      <c r="C115">
        <f>MAX(B115:B120)</f>
        <v>106200</v>
      </c>
      <c r="D115">
        <f>MIN(B115:B120)</f>
        <v>53100</v>
      </c>
    </row>
    <row r="116" spans="1:4" x14ac:dyDescent="0.25">
      <c r="B116">
        <f t="shared" ref="B116:B120" si="8">J68+H68</f>
        <v>84000</v>
      </c>
    </row>
    <row r="117" spans="1:4" x14ac:dyDescent="0.25">
      <c r="B117">
        <f t="shared" si="8"/>
        <v>60480</v>
      </c>
    </row>
    <row r="118" spans="1:4" x14ac:dyDescent="0.25">
      <c r="B118">
        <f t="shared" si="8"/>
        <v>53100</v>
      </c>
    </row>
    <row r="119" spans="1:4" x14ac:dyDescent="0.25">
      <c r="B119">
        <f t="shared" si="8"/>
        <v>67200</v>
      </c>
    </row>
    <row r="120" spans="1:4" x14ac:dyDescent="0.25">
      <c r="B120">
        <f t="shared" si="8"/>
        <v>106200</v>
      </c>
    </row>
    <row r="123" spans="1:4" x14ac:dyDescent="0.25">
      <c r="A123" t="s">
        <v>103</v>
      </c>
      <c r="B123" t="s">
        <v>104</v>
      </c>
    </row>
    <row r="125" spans="1:4" x14ac:dyDescent="0.25">
      <c r="B125" t="s">
        <v>10</v>
      </c>
      <c r="C125" t="s">
        <v>105</v>
      </c>
    </row>
    <row r="126" spans="1:4" x14ac:dyDescent="0.25">
      <c r="B126" t="s">
        <v>14</v>
      </c>
      <c r="C126" s="5">
        <v>45662</v>
      </c>
    </row>
    <row r="127" spans="1:4" x14ac:dyDescent="0.25">
      <c r="B127" t="s">
        <v>18</v>
      </c>
      <c r="C127" s="5">
        <v>45663</v>
      </c>
    </row>
    <row r="128" spans="1:4" x14ac:dyDescent="0.25">
      <c r="B128" t="s">
        <v>22</v>
      </c>
      <c r="C128" s="5">
        <v>45664</v>
      </c>
    </row>
    <row r="129" spans="1:3" x14ac:dyDescent="0.25">
      <c r="B129" t="s">
        <v>25</v>
      </c>
      <c r="C129" s="5">
        <v>45665</v>
      </c>
    </row>
    <row r="130" spans="1:3" x14ac:dyDescent="0.25">
      <c r="B130" t="s">
        <v>26</v>
      </c>
      <c r="C130" s="5">
        <v>45666</v>
      </c>
    </row>
    <row r="131" spans="1:3" x14ac:dyDescent="0.25">
      <c r="B131" t="s">
        <v>27</v>
      </c>
      <c r="C131" s="5">
        <v>45667</v>
      </c>
    </row>
    <row r="135" spans="1:3" x14ac:dyDescent="0.25">
      <c r="A135" t="s">
        <v>106</v>
      </c>
    </row>
    <row r="143" spans="1:3" x14ac:dyDescent="0.25">
      <c r="A143" t="s">
        <v>107</v>
      </c>
      <c r="B143" t="s">
        <v>52</v>
      </c>
    </row>
    <row r="151" spans="1:2" x14ac:dyDescent="0.25">
      <c r="A151" t="s">
        <v>108</v>
      </c>
      <c r="B151" t="s">
        <v>53</v>
      </c>
    </row>
    <row r="162" spans="1:2" x14ac:dyDescent="0.25">
      <c r="A162" t="s">
        <v>54</v>
      </c>
    </row>
    <row r="169" spans="1:2" x14ac:dyDescent="0.25">
      <c r="A169">
        <v>14</v>
      </c>
      <c r="B169" t="s">
        <v>55</v>
      </c>
    </row>
    <row r="177" spans="1:4" x14ac:dyDescent="0.25">
      <c r="A177" t="s">
        <v>56</v>
      </c>
    </row>
    <row r="186" spans="1:4" x14ac:dyDescent="0.25">
      <c r="A186" t="s">
        <v>57</v>
      </c>
    </row>
    <row r="190" spans="1:4" x14ac:dyDescent="0.25">
      <c r="C190" s="8" t="s">
        <v>114</v>
      </c>
      <c r="D190" t="s">
        <v>116</v>
      </c>
    </row>
    <row r="191" spans="1:4" x14ac:dyDescent="0.25">
      <c r="C191" s="9" t="s">
        <v>13</v>
      </c>
      <c r="D191" s="10">
        <v>225000</v>
      </c>
    </row>
    <row r="192" spans="1:4" x14ac:dyDescent="0.25">
      <c r="C192" s="9" t="s">
        <v>17</v>
      </c>
      <c r="D192" s="10">
        <v>135000</v>
      </c>
    </row>
    <row r="193" spans="1:4" x14ac:dyDescent="0.25">
      <c r="C193" s="9" t="s">
        <v>21</v>
      </c>
      <c r="D193" s="10">
        <v>54000</v>
      </c>
    </row>
    <row r="194" spans="1:4" x14ac:dyDescent="0.25">
      <c r="C194" s="9" t="s">
        <v>115</v>
      </c>
      <c r="D194" s="10">
        <v>414000</v>
      </c>
    </row>
    <row r="208" spans="1:4" x14ac:dyDescent="0.25">
      <c r="A208" t="s">
        <v>58</v>
      </c>
    </row>
    <row r="230" spans="1:1" x14ac:dyDescent="0.25">
      <c r="A230" t="s">
        <v>59</v>
      </c>
    </row>
    <row r="250" spans="1:1" x14ac:dyDescent="0.25">
      <c r="A250" t="s">
        <v>60</v>
      </c>
    </row>
    <row r="272" spans="1:1" x14ac:dyDescent="0.25">
      <c r="A272" t="s">
        <v>61</v>
      </c>
    </row>
    <row r="274" spans="1:6" x14ac:dyDescent="0.25">
      <c r="B274" t="s">
        <v>34</v>
      </c>
    </row>
    <row r="275" spans="1:6" x14ac:dyDescent="0.25">
      <c r="B275">
        <v>82</v>
      </c>
    </row>
    <row r="276" spans="1:6" x14ac:dyDescent="0.25">
      <c r="B276">
        <v>91</v>
      </c>
      <c r="F276">
        <f>MEDIAN(B275,B276,B277,B278,B279)</f>
        <v>82</v>
      </c>
    </row>
    <row r="277" spans="1:6" x14ac:dyDescent="0.25">
      <c r="B277">
        <v>70</v>
      </c>
    </row>
    <row r="278" spans="1:6" x14ac:dyDescent="0.25">
      <c r="B278">
        <v>89</v>
      </c>
    </row>
    <row r="279" spans="1:6" x14ac:dyDescent="0.25">
      <c r="B279">
        <v>60</v>
      </c>
    </row>
    <row r="285" spans="1:6" x14ac:dyDescent="0.25">
      <c r="A285" t="s">
        <v>62</v>
      </c>
    </row>
    <row r="287" spans="1:6" x14ac:dyDescent="0.25">
      <c r="B287" t="s">
        <v>35</v>
      </c>
      <c r="D287" t="s">
        <v>120</v>
      </c>
    </row>
    <row r="288" spans="1:6" x14ac:dyDescent="0.25">
      <c r="B288">
        <v>85</v>
      </c>
      <c r="D288">
        <f>_xlfn.STDEV.S(B288:B292)</f>
        <v>14.737706741552426</v>
      </c>
    </row>
    <row r="289" spans="1:2" x14ac:dyDescent="0.25">
      <c r="B289">
        <v>90</v>
      </c>
    </row>
    <row r="290" spans="1:2" x14ac:dyDescent="0.25">
      <c r="B290">
        <v>72</v>
      </c>
    </row>
    <row r="291" spans="1:2" x14ac:dyDescent="0.25">
      <c r="B291">
        <v>94</v>
      </c>
    </row>
    <row r="292" spans="1:2" x14ac:dyDescent="0.25">
      <c r="B292">
        <v>58</v>
      </c>
    </row>
    <row r="296" spans="1:2" x14ac:dyDescent="0.25">
      <c r="A296" t="s">
        <v>63</v>
      </c>
    </row>
    <row r="308" spans="1:4" x14ac:dyDescent="0.25">
      <c r="A308" t="s">
        <v>64</v>
      </c>
    </row>
    <row r="310" spans="1:4" x14ac:dyDescent="0.25">
      <c r="B310" t="s">
        <v>6</v>
      </c>
    </row>
    <row r="311" spans="1:4" x14ac:dyDescent="0.25">
      <c r="B311" t="s">
        <v>12</v>
      </c>
      <c r="D311" t="str">
        <f>LEFT(B311,2)</f>
        <v>Am</v>
      </c>
    </row>
    <row r="312" spans="1:4" x14ac:dyDescent="0.25">
      <c r="B312" t="s">
        <v>16</v>
      </c>
      <c r="D312" t="str">
        <f t="shared" ref="D312:D316" si="9">LEFT(B312,2)</f>
        <v>Ri</v>
      </c>
    </row>
    <row r="313" spans="1:4" x14ac:dyDescent="0.25">
      <c r="B313" t="s">
        <v>20</v>
      </c>
      <c r="D313" t="str">
        <f t="shared" si="9"/>
        <v>Ku</v>
      </c>
    </row>
    <row r="314" spans="1:4" x14ac:dyDescent="0.25">
      <c r="B314" t="s">
        <v>24</v>
      </c>
      <c r="D314" t="str">
        <f t="shared" si="9"/>
        <v>Ne</v>
      </c>
    </row>
    <row r="315" spans="1:4" x14ac:dyDescent="0.25">
      <c r="B315" t="s">
        <v>12</v>
      </c>
      <c r="D315" t="str">
        <f t="shared" si="9"/>
        <v>Am</v>
      </c>
    </row>
    <row r="316" spans="1:4" x14ac:dyDescent="0.25">
      <c r="B316" t="s">
        <v>16</v>
      </c>
      <c r="D316" t="str">
        <f t="shared" si="9"/>
        <v>Ri</v>
      </c>
    </row>
    <row r="320" spans="1:4" x14ac:dyDescent="0.25">
      <c r="A320" t="s">
        <v>65</v>
      </c>
    </row>
    <row r="322" spans="1:9" x14ac:dyDescent="0.25">
      <c r="B322" s="12" t="s">
        <v>119</v>
      </c>
    </row>
    <row r="323" spans="1:9" x14ac:dyDescent="0.25">
      <c r="B323">
        <f>H67+J67</f>
        <v>106200</v>
      </c>
    </row>
    <row r="324" spans="1:9" x14ac:dyDescent="0.25">
      <c r="B324">
        <f t="shared" ref="B324:B328" si="10">H68+J68</f>
        <v>84000</v>
      </c>
    </row>
    <row r="325" spans="1:9" x14ac:dyDescent="0.25">
      <c r="B325">
        <f t="shared" si="10"/>
        <v>60480</v>
      </c>
    </row>
    <row r="326" spans="1:9" x14ac:dyDescent="0.25">
      <c r="B326">
        <f t="shared" si="10"/>
        <v>53100</v>
      </c>
    </row>
    <row r="327" spans="1:9" x14ac:dyDescent="0.25">
      <c r="B327">
        <f t="shared" si="10"/>
        <v>67200</v>
      </c>
    </row>
    <row r="328" spans="1:9" x14ac:dyDescent="0.25">
      <c r="B328">
        <f t="shared" si="10"/>
        <v>106200</v>
      </c>
    </row>
    <row r="333" spans="1:9" x14ac:dyDescent="0.25">
      <c r="A333" t="s">
        <v>66</v>
      </c>
    </row>
    <row r="335" spans="1:9" x14ac:dyDescent="0.25">
      <c r="B335" t="s">
        <v>4</v>
      </c>
      <c r="C335" t="s">
        <v>5</v>
      </c>
      <c r="D335" t="s">
        <v>6</v>
      </c>
      <c r="E335" t="s">
        <v>7</v>
      </c>
      <c r="F335" t="s">
        <v>8</v>
      </c>
      <c r="G335" t="s">
        <v>9</v>
      </c>
      <c r="H335" t="s">
        <v>10</v>
      </c>
      <c r="I335" t="s">
        <v>75</v>
      </c>
    </row>
    <row r="336" spans="1:9" x14ac:dyDescent="0.25">
      <c r="B336">
        <v>301</v>
      </c>
      <c r="C336" t="s">
        <v>11</v>
      </c>
      <c r="D336" t="s">
        <v>12</v>
      </c>
      <c r="E336" t="s">
        <v>13</v>
      </c>
      <c r="F336">
        <v>2</v>
      </c>
      <c r="G336">
        <v>45000</v>
      </c>
      <c r="H336" t="s">
        <v>14</v>
      </c>
      <c r="I336" cm="1">
        <f t="array" ref="I336:I341">F336:F341*G336:G341</f>
        <v>90000</v>
      </c>
    </row>
    <row r="337" spans="1:11" hidden="1" x14ac:dyDescent="0.25">
      <c r="B337">
        <v>302</v>
      </c>
      <c r="C337" t="s">
        <v>15</v>
      </c>
      <c r="D337" t="s">
        <v>16</v>
      </c>
      <c r="E337" t="s">
        <v>17</v>
      </c>
      <c r="F337">
        <v>5</v>
      </c>
      <c r="G337">
        <v>15000</v>
      </c>
      <c r="H337" t="s">
        <v>18</v>
      </c>
      <c r="I337">
        <v>75000</v>
      </c>
    </row>
    <row r="338" spans="1:11" hidden="1" x14ac:dyDescent="0.25">
      <c r="B338">
        <v>303</v>
      </c>
      <c r="C338" t="s">
        <v>19</v>
      </c>
      <c r="D338" t="s">
        <v>20</v>
      </c>
      <c r="E338" t="s">
        <v>21</v>
      </c>
      <c r="F338">
        <v>3</v>
      </c>
      <c r="G338">
        <v>18000</v>
      </c>
      <c r="H338" t="s">
        <v>22</v>
      </c>
      <c r="I338">
        <v>54000</v>
      </c>
    </row>
    <row r="339" spans="1:11" hidden="1" x14ac:dyDescent="0.25">
      <c r="B339">
        <v>304</v>
      </c>
      <c r="C339" t="s">
        <v>23</v>
      </c>
      <c r="D339" t="s">
        <v>24</v>
      </c>
      <c r="E339" t="s">
        <v>13</v>
      </c>
      <c r="F339">
        <v>1</v>
      </c>
      <c r="G339">
        <v>45000</v>
      </c>
      <c r="H339" t="s">
        <v>25</v>
      </c>
      <c r="I339">
        <v>45000</v>
      </c>
    </row>
    <row r="340" spans="1:11" hidden="1" x14ac:dyDescent="0.25">
      <c r="B340">
        <v>305</v>
      </c>
      <c r="C340" t="s">
        <v>11</v>
      </c>
      <c r="D340" t="s">
        <v>12</v>
      </c>
      <c r="E340" t="s">
        <v>17</v>
      </c>
      <c r="F340">
        <v>4</v>
      </c>
      <c r="G340">
        <v>15000</v>
      </c>
      <c r="H340" t="s">
        <v>26</v>
      </c>
      <c r="I340">
        <v>60000</v>
      </c>
    </row>
    <row r="341" spans="1:11" x14ac:dyDescent="0.25">
      <c r="B341">
        <v>306</v>
      </c>
      <c r="C341" t="s">
        <v>15</v>
      </c>
      <c r="D341" t="s">
        <v>16</v>
      </c>
      <c r="E341" t="s">
        <v>13</v>
      </c>
      <c r="F341">
        <v>2</v>
      </c>
      <c r="G341">
        <v>45000</v>
      </c>
      <c r="H341" t="s">
        <v>27</v>
      </c>
      <c r="I341">
        <v>90000</v>
      </c>
    </row>
    <row r="345" spans="1:11" x14ac:dyDescent="0.25">
      <c r="A345" t="s">
        <v>67</v>
      </c>
    </row>
    <row r="347" spans="1:11" x14ac:dyDescent="0.25">
      <c r="K347" t="s">
        <v>121</v>
      </c>
    </row>
    <row r="348" spans="1:11" x14ac:dyDescent="0.25">
      <c r="B348" t="s">
        <v>4</v>
      </c>
      <c r="C348" t="s">
        <v>5</v>
      </c>
      <c r="D348" t="s">
        <v>6</v>
      </c>
      <c r="E348" t="s">
        <v>7</v>
      </c>
      <c r="F348" t="s">
        <v>8</v>
      </c>
      <c r="G348" t="s">
        <v>9</v>
      </c>
      <c r="H348" t="s">
        <v>10</v>
      </c>
      <c r="I348" t="s">
        <v>75</v>
      </c>
      <c r="K348">
        <f>COUNTIFS(C349:C354,"North",E349:E354,"Laptop")</f>
        <v>1</v>
      </c>
    </row>
    <row r="349" spans="1:11" x14ac:dyDescent="0.25">
      <c r="B349">
        <v>301</v>
      </c>
      <c r="C349" t="s">
        <v>11</v>
      </c>
      <c r="D349" t="s">
        <v>12</v>
      </c>
      <c r="E349" t="s">
        <v>13</v>
      </c>
      <c r="F349">
        <v>2</v>
      </c>
      <c r="G349">
        <v>45000</v>
      </c>
      <c r="H349" t="s">
        <v>14</v>
      </c>
      <c r="I349" cm="1">
        <f t="array" ref="I349:I354">F349:F354*G349:G354</f>
        <v>90000</v>
      </c>
    </row>
    <row r="350" spans="1:11" x14ac:dyDescent="0.25">
      <c r="B350">
        <v>302</v>
      </c>
      <c r="C350" t="s">
        <v>15</v>
      </c>
      <c r="D350" t="s">
        <v>16</v>
      </c>
      <c r="E350" t="s">
        <v>17</v>
      </c>
      <c r="F350">
        <v>5</v>
      </c>
      <c r="G350">
        <v>15000</v>
      </c>
      <c r="H350" t="s">
        <v>18</v>
      </c>
      <c r="I350">
        <v>75000</v>
      </c>
    </row>
    <row r="351" spans="1:11" x14ac:dyDescent="0.25">
      <c r="B351">
        <v>303</v>
      </c>
      <c r="C351" t="s">
        <v>19</v>
      </c>
      <c r="D351" t="s">
        <v>20</v>
      </c>
      <c r="E351" t="s">
        <v>21</v>
      </c>
      <c r="F351">
        <v>3</v>
      </c>
      <c r="G351">
        <v>18000</v>
      </c>
      <c r="H351" t="s">
        <v>22</v>
      </c>
      <c r="I351">
        <v>54000</v>
      </c>
    </row>
    <row r="352" spans="1:11" x14ac:dyDescent="0.25">
      <c r="B352">
        <v>304</v>
      </c>
      <c r="C352" t="s">
        <v>23</v>
      </c>
      <c r="D352" t="s">
        <v>24</v>
      </c>
      <c r="E352" t="s">
        <v>13</v>
      </c>
      <c r="F352">
        <v>1</v>
      </c>
      <c r="G352">
        <v>45000</v>
      </c>
      <c r="H352" t="s">
        <v>25</v>
      </c>
      <c r="I352">
        <v>45000</v>
      </c>
    </row>
    <row r="353" spans="1:9" x14ac:dyDescent="0.25">
      <c r="B353">
        <v>305</v>
      </c>
      <c r="C353" t="s">
        <v>11</v>
      </c>
      <c r="D353" t="s">
        <v>12</v>
      </c>
      <c r="E353" t="s">
        <v>17</v>
      </c>
      <c r="F353">
        <v>4</v>
      </c>
      <c r="G353">
        <v>15000</v>
      </c>
      <c r="H353" t="s">
        <v>26</v>
      </c>
      <c r="I353">
        <v>60000</v>
      </c>
    </row>
    <row r="354" spans="1:9" x14ac:dyDescent="0.25">
      <c r="B354">
        <v>306</v>
      </c>
      <c r="C354" t="s">
        <v>15</v>
      </c>
      <c r="D354" t="s">
        <v>16</v>
      </c>
      <c r="E354" t="s">
        <v>13</v>
      </c>
      <c r="F354">
        <v>2</v>
      </c>
      <c r="G354">
        <v>45000</v>
      </c>
      <c r="H354" t="s">
        <v>27</v>
      </c>
      <c r="I354">
        <v>90000</v>
      </c>
    </row>
    <row r="356" spans="1:9" x14ac:dyDescent="0.25">
      <c r="A356" s="13" t="s">
        <v>68</v>
      </c>
    </row>
    <row r="358" spans="1:9" x14ac:dyDescent="0.25">
      <c r="B358" s="14" t="s">
        <v>9</v>
      </c>
      <c r="C358" t="s">
        <v>122</v>
      </c>
    </row>
    <row r="359" spans="1:9" x14ac:dyDescent="0.25">
      <c r="B359" s="14">
        <v>45000</v>
      </c>
      <c r="C359">
        <f>ROUND(B359,-3)</f>
        <v>45000</v>
      </c>
    </row>
    <row r="360" spans="1:9" x14ac:dyDescent="0.25">
      <c r="B360" s="14">
        <v>15000</v>
      </c>
      <c r="C360">
        <f t="shared" ref="C360:C364" si="11">ROUND(B360,-3)</f>
        <v>15000</v>
      </c>
    </row>
    <row r="361" spans="1:9" x14ac:dyDescent="0.25">
      <c r="B361" s="14">
        <v>18000</v>
      </c>
      <c r="C361">
        <f t="shared" si="11"/>
        <v>18000</v>
      </c>
    </row>
    <row r="362" spans="1:9" x14ac:dyDescent="0.25">
      <c r="B362" s="14">
        <v>45000</v>
      </c>
      <c r="C362">
        <f t="shared" si="11"/>
        <v>45000</v>
      </c>
    </row>
    <row r="363" spans="1:9" x14ac:dyDescent="0.25">
      <c r="B363" s="14">
        <v>15000</v>
      </c>
      <c r="C363">
        <f t="shared" si="11"/>
        <v>15000</v>
      </c>
    </row>
    <row r="364" spans="1:9" x14ac:dyDescent="0.25">
      <c r="B364" s="14">
        <v>45000</v>
      </c>
      <c r="C364">
        <f t="shared" si="11"/>
        <v>45000</v>
      </c>
    </row>
    <row r="371" spans="1:1" x14ac:dyDescent="0.25">
      <c r="A371" s="11" t="s">
        <v>69</v>
      </c>
    </row>
    <row r="386" spans="1:1" x14ac:dyDescent="0.25">
      <c r="A386" t="s">
        <v>70</v>
      </c>
    </row>
    <row r="396" spans="1:1" x14ac:dyDescent="0.25">
      <c r="A396" s="13" t="s">
        <v>71</v>
      </c>
    </row>
  </sheetData>
  <autoFilter ref="B335:I341" xr:uid="{00000000-0001-0000-0400-000000000000}">
    <filterColumn colId="3">
      <filters>
        <filter val="Laptop"/>
      </filters>
    </filterColumn>
    <filterColumn colId="4">
      <filters>
        <filter val="2"/>
      </filters>
    </filterColumn>
  </autoFilter>
  <mergeCells count="1">
    <mergeCell ref="F38:L39"/>
  </mergeCells>
  <conditionalFormatting sqref="B323:B328">
    <cfRule type="cellIs" dxfId="0" priority="1" operator="greaterThan">
      <formula>60000</formula>
    </cfRule>
  </conditionalFormatting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K37" sqref="K37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workbookViewId="0">
      <selection activeCell="J7" sqref="J7"/>
    </sheetView>
  </sheetViews>
  <sheetFormatPr defaultRowHeight="15" x14ac:dyDescent="0.25"/>
  <cols>
    <col min="2" max="2" width="13.140625" bestFit="1" customWidth="1"/>
    <col min="3" max="3" width="12.140625" bestFit="1" customWidth="1"/>
    <col min="6" max="6" width="12.85546875" bestFit="1" customWidth="1"/>
    <col min="7" max="7" width="11.140625" bestFit="1" customWidth="1"/>
    <col min="12" max="12" width="17.28515625" bestFit="1" customWidth="1"/>
  </cols>
  <sheetData>
    <row r="1" spans="1:12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109</v>
      </c>
      <c r="H1" t="s">
        <v>110</v>
      </c>
    </row>
    <row r="2" spans="1:12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  <c r="G2">
        <f>SUM(C2:E2)</f>
        <v>245</v>
      </c>
      <c r="H2">
        <f>G2/3</f>
        <v>81.666666666666671</v>
      </c>
    </row>
    <row r="3" spans="1:12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  <c r="G3">
        <f t="shared" ref="G3:G6" si="0">SUM(C3:E3)</f>
        <v>269</v>
      </c>
      <c r="H3">
        <f t="shared" ref="H3:H6" si="1">G3/3</f>
        <v>89.666666666666671</v>
      </c>
    </row>
    <row r="4" spans="1:12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  <c r="G4">
        <f t="shared" si="0"/>
        <v>207</v>
      </c>
      <c r="H4">
        <f t="shared" si="1"/>
        <v>69</v>
      </c>
      <c r="L4" t="s">
        <v>111</v>
      </c>
    </row>
    <row r="5" spans="1:12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  <c r="G5">
        <f t="shared" si="0"/>
        <v>275</v>
      </c>
      <c r="H5">
        <f t="shared" si="1"/>
        <v>91.666666666666671</v>
      </c>
      <c r="L5" s="6">
        <f>MAX(H2:H6)</f>
        <v>91.666666666666671</v>
      </c>
    </row>
    <row r="6" spans="1:12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  <c r="G6">
        <f t="shared" si="0"/>
        <v>173</v>
      </c>
      <c r="H6">
        <f t="shared" si="1"/>
        <v>57.666666666666664</v>
      </c>
    </row>
    <row r="7" spans="1:12" x14ac:dyDescent="0.25">
      <c r="L7" t="s">
        <v>112</v>
      </c>
    </row>
    <row r="8" spans="1:12" x14ac:dyDescent="0.25">
      <c r="L8">
        <f>COUNTIF(F2:F6,"&gt;90")</f>
        <v>3</v>
      </c>
    </row>
    <row r="9" spans="1:12" ht="15.75" thickBot="1" x14ac:dyDescent="0.3"/>
    <row r="10" spans="1:12" ht="15.75" thickBot="1" x14ac:dyDescent="0.3">
      <c r="L10" s="7" t="s">
        <v>113</v>
      </c>
    </row>
    <row r="11" spans="1:12" ht="15.75" thickBot="1" x14ac:dyDescent="0.3">
      <c r="H11" t="str">
        <f>INDEX(B2:B6,MATCH(MAX(F2:F6),F2:F6,0))</f>
        <v>Pooja</v>
      </c>
      <c r="L11" t="str" cm="1">
        <f t="array" ref="L11:L15">IF(F2:F6&gt;=85,"Eligible","Not Eligible")</f>
        <v>Eligible</v>
      </c>
    </row>
    <row r="12" spans="1:12" ht="15.75" thickBot="1" x14ac:dyDescent="0.3">
      <c r="F12" s="7" t="s">
        <v>118</v>
      </c>
      <c r="L12" t="str">
        <v>Eligible</v>
      </c>
    </row>
    <row r="13" spans="1:12" x14ac:dyDescent="0.25">
      <c r="B13" s="8" t="s">
        <v>114</v>
      </c>
      <c r="C13" t="s">
        <v>117</v>
      </c>
      <c r="F13" t="str">
        <f>_xlfn.CONCAT(A2," ",B2)</f>
        <v>1 Rahul</v>
      </c>
      <c r="L13" t="str">
        <v>Eligible</v>
      </c>
    </row>
    <row r="14" spans="1:12" x14ac:dyDescent="0.25">
      <c r="B14" s="9" t="s">
        <v>39</v>
      </c>
      <c r="C14" s="10">
        <v>72</v>
      </c>
      <c r="F14" t="str">
        <f t="shared" ref="F14:F17" si="2">_xlfn.CONCAT(A3," ",B3)</f>
        <v>2 Sneha</v>
      </c>
      <c r="I14" t="str">
        <f>INDEX(B2:B6,MATCH(MAX(H2:H6),H2:H6,0))</f>
        <v>Pooja</v>
      </c>
      <c r="L14" t="str">
        <v>Eligible</v>
      </c>
    </row>
    <row r="15" spans="1:12" x14ac:dyDescent="0.25">
      <c r="B15" s="9" t="s">
        <v>40</v>
      </c>
      <c r="C15" s="10">
        <v>94</v>
      </c>
      <c r="F15" t="str">
        <f t="shared" si="2"/>
        <v>3 Arjun</v>
      </c>
      <c r="L15" t="str">
        <v>Not Eligible</v>
      </c>
    </row>
    <row r="16" spans="1:12" x14ac:dyDescent="0.25">
      <c r="B16" s="9" t="s">
        <v>37</v>
      </c>
      <c r="C16" s="10">
        <v>85</v>
      </c>
      <c r="F16" t="str">
        <f t="shared" si="2"/>
        <v>4 Pooja</v>
      </c>
    </row>
    <row r="17" spans="2:10" x14ac:dyDescent="0.25">
      <c r="B17" s="9" t="s">
        <v>38</v>
      </c>
      <c r="C17" s="10">
        <v>90</v>
      </c>
      <c r="F17" t="str">
        <f t="shared" si="2"/>
        <v>5 Vikas</v>
      </c>
    </row>
    <row r="18" spans="2:10" x14ac:dyDescent="0.25">
      <c r="B18" s="9" t="s">
        <v>41</v>
      </c>
      <c r="C18" s="10">
        <v>58</v>
      </c>
      <c r="J18" t="str">
        <f>INDEX(B2:B6,MATCH(MAX(H2:H6),H2:H6,0))</f>
        <v>Pooja</v>
      </c>
    </row>
    <row r="19" spans="2:10" x14ac:dyDescent="0.25">
      <c r="B19" s="9" t="s">
        <v>115</v>
      </c>
      <c r="C19" s="10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Questions (2)</vt:lpstr>
      <vt:lpstr>Product_Master</vt:lpstr>
      <vt:lpstr>Sales_Data</vt:lpstr>
      <vt:lpstr>Questions</vt:lpstr>
      <vt:lpstr>Instructions</vt:lpstr>
      <vt:lpstr>Student_Marks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 Mevada</cp:lastModifiedBy>
  <dcterms:created xsi:type="dcterms:W3CDTF">2025-12-20T09:26:06Z</dcterms:created>
  <dcterms:modified xsi:type="dcterms:W3CDTF">2026-08-16T15:48:16Z</dcterms:modified>
</cp:coreProperties>
</file>