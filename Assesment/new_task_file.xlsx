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ry3\OneDrive\Desktop\"/>
    </mc:Choice>
  </mc:AlternateContent>
  <xr:revisionPtr revIDLastSave="0" documentId="8_{BFB23ED5-8DCD-42A6-898E-5D957D9FD4CB}" xr6:coauthVersionLast="47" xr6:coauthVersionMax="47" xr10:uidLastSave="{00000000-0000-0000-0000-000000000000}"/>
  <bookViews>
    <workbookView xWindow="-120" yWindow="-120" windowWidth="21840" windowHeight="13020" xr2:uid="{EA136B6C-AA65-4636-8166-97F4A4999B21}"/>
  </bookViews>
  <sheets>
    <sheet name="Products" sheetId="3" r:id="rId1"/>
    <sheet name="Customers" sheetId="4" r:id="rId2"/>
    <sheet name="STORE" sheetId="5" r:id="rId3"/>
    <sheet name="sales" sheetId="6" r:id="rId4"/>
    <sheet name="solution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" i="6" l="1"/>
  <c r="R6" i="6"/>
  <c r="R7" i="6"/>
  <c r="R8" i="6"/>
  <c r="R9" i="6"/>
  <c r="R10" i="6"/>
  <c r="R11" i="6"/>
  <c r="R12" i="6"/>
  <c r="R13" i="6"/>
  <c r="R14" i="6"/>
  <c r="R15" i="6"/>
  <c r="R16" i="6"/>
  <c r="R17" i="6"/>
  <c r="R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4" i="6"/>
  <c r="H13" i="5"/>
  <c r="H11" i="5"/>
  <c r="H9" i="5"/>
  <c r="I16" i="4"/>
  <c r="I13" i="4"/>
  <c r="I10" i="4"/>
  <c r="I7" i="4"/>
  <c r="K14" i="3"/>
  <c r="K11" i="3"/>
  <c r="J8" i="3"/>
  <c r="K5" i="3"/>
  <c r="I2" i="3"/>
</calcChain>
</file>

<file path=xl/sharedStrings.xml><?xml version="1.0" encoding="utf-8"?>
<sst xmlns="http://schemas.openxmlformats.org/spreadsheetml/2006/main" count="231" uniqueCount="131">
  <si>
    <t>Category</t>
  </si>
  <si>
    <t>Brand</t>
  </si>
  <si>
    <t>Product</t>
  </si>
  <si>
    <t>ID</t>
  </si>
  <si>
    <t>Product Name</t>
  </si>
  <si>
    <t>Price</t>
  </si>
  <si>
    <t>Stock</t>
  </si>
  <si>
    <t>-----</t>
  </si>
  <si>
    <t>-------------</t>
  </si>
  <si>
    <t>------------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</si>
  <si>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</si>
  <si>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</si>
  <si>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</si>
  <si>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</si>
  <si>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</si>
  <si>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</si>
  <si>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</si>
  <si>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</si>
  <si>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</si>
  <si>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</si>
  <si>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</si>
  <si>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</si>
  <si>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</si>
  <si>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</si>
  <si>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</si>
  <si>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</si>
  <si>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</si>
  <si>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</si>
  <si>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</si>
  <si>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</si>
  <si>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</si>
  <si>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Office Chair</t>
  </si>
  <si>
    <t>Furniture</t>
  </si>
  <si>
    <t>Green Soul</t>
  </si>
  <si>
    <t>P1008</t>
  </si>
  <si>
    <t>Office Desk</t>
  </si>
  <si>
    <t>IKEA</t>
  </si>
  <si>
    <t>P1009</t>
  </si>
  <si>
    <t>Monitor</t>
  </si>
  <si>
    <t>LG</t>
  </si>
  <si>
    <t>P1010</t>
  </si>
  <si>
    <t>Webcam</t>
  </si>
  <si>
    <t>Customer</t>
  </si>
  <si>
    <t>Customer Name</t>
  </si>
  <si>
    <t>City</t>
  </si>
  <si>
    <t>State</t>
  </si>
  <si>
    <t>Gender</t>
  </si>
  <si>
    <t>--------</t>
  </si>
  <si>
    <t>---------------</t>
  </si>
  <si>
    <t>-----------</t>
  </si>
  <si>
    <t>----------------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</si>
  <si>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</si>
  <si>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</si>
  <si>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</si>
  <si>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</si>
  <si>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</si>
  <si>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</si>
  <si>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</si>
  <si>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</si>
  <si>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</si>
  <si>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</si>
  <si>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</si>
  <si>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</si>
  <si>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</si>
  <si>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</si>
  <si>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</si>
  <si>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</si>
  <si>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</si>
  <si>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</si>
  <si>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</si>
  <si>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</si>
  <si>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</si>
  <si>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</si>
  <si>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</si>
  <si>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</si>
  <si>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</si>
  <si>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</si>
  <si>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</si>
  <si>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</si>
  <si>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</si>
  <si>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</si>
  <si>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</si>
  <si>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</si>
  <si>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</si>
  <si>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</si>
  <si>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</si>
  <si>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</si>
  <si>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</si>
  <si>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</si>
  <si>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Store ID</t>
  </si>
  <si>
    <t>Store Name</t>
  </si>
  <si>
    <t>----------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</si>
  <si>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</si>
  <si>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</si>
  <si>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</si>
  <si>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</si>
  <si>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</si>
  <si>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</si>
  <si>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</si>
  <si>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</si>
  <si>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</si>
  <si>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</si>
  <si>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</si>
  <si>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Product ID</t>
  </si>
  <si>
    <t>Customer ID</t>
  </si>
  <si>
    <t>Quantity</t>
  </si>
  <si>
    <t>Date</t>
  </si>
  <si>
    <t>---------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</si>
  <si>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</si>
  <si>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</si>
  <si>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</si>
  <si>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</si>
  <si>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</si>
  <si>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</si>
  <si>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</si>
  <si>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</si>
  <si>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</si>
  <si>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</si>
  <si>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</si>
  <si>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</si>
  <si>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</si>
  <si>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</si>
  <si>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</si>
  <si>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Solution</t>
  </si>
  <si>
    <t>2nd</t>
  </si>
  <si>
    <t>3rd</t>
  </si>
  <si>
    <t>4TH</t>
  </si>
  <si>
    <t>5th</t>
  </si>
  <si>
    <t>1ST</t>
  </si>
  <si>
    <t>4th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</si>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</sst>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D4F2-3EFB-455C-BEEC-7AE8E4688098}">
  <dimension ref="A1:K14"/>
  <sheetViews>
    <sheetView tabSelected="1" workbookViewId="0">
      <selection activeCell="L5" sqref="L5"/>
    </sheetView>
  </sheetViews>
  <sheetFormatPr defaultRowHeight="15" x14ac:dyDescent="0.25"/>
  <cols>
    <col min="1" max="1" width="7.85546875" bestFit="1" customWidth="1"/>
    <col min="2" max="2" width="2.85546875" bestFit="1" customWidth="1"/>
    <col min="3" max="3" width="13.7109375" bestFit="1" customWidth="1"/>
    <col min="4" max="4" width="11.5703125" bestFit="1" customWidth="1"/>
    <col min="5" max="5" width="10.42578125" bestFit="1" customWidth="1"/>
    <col min="6" max="6" width="6" bestFit="1" customWidth="1"/>
    <col min="7" max="7" width="5.7109375" bestFit="1" customWidth="1"/>
    <col min="8" max="8" width="6.140625" bestFit="1" customWidth="1"/>
    <col min="9" max="9" width="6.85546875" bestFit="1" customWidth="1"/>
    <col min="10" max="10" width="6.140625" bestFit="1" customWidth="1"/>
    <col min="11" max="11" width="11.5703125" bestFit="1" customWidth="1"/>
  </cols>
  <sheetData>
    <row r="1" spans="1:11" ht="15.75" thickBot="1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s="3" t="s">
        <v>123</v>
      </c>
      <c r="I1" s="4"/>
    </row>
    <row r="2" spans="1:11" x14ac:dyDescent="0.25">
      <c r="A2" t="s">
        <v>10</v>
      </c>
      <c r="C2" t="s">
        <v>11</v>
      </c>
      <c r="D2" t="s">
        <v>12</v>
      </c>
      <c r="E2" t="s">
        <v>13</v>
      </c>
      <c r="F2">
        <v>55000</v>
      </c>
      <c r="G2">
        <v>25</v>
      </c>
      <c r="H2" t="s">
        <v>27</v>
      </c>
      <c r="I2" t="str">
        <f>INDEX(C1:C11,MATCH(H2,A1:A11,0))</f>
        <v>Printer</v>
      </c>
    </row>
    <row r="3" spans="1:11" x14ac:dyDescent="0.25">
      <c r="A3" t="s">
        <v>14</v>
      </c>
      <c r="C3" t="s">
        <v>15</v>
      </c>
      <c r="D3" t="s">
        <v>12</v>
      </c>
      <c r="E3" t="s">
        <v>16</v>
      </c>
      <c r="F3">
        <v>32000</v>
      </c>
      <c r="G3">
        <v>40</v>
      </c>
    </row>
    <row r="4" spans="1:11" x14ac:dyDescent="0.25">
      <c r="A4" t="s">
        <v>17</v>
      </c>
      <c r="C4" t="s">
        <v>18</v>
      </c>
      <c r="D4" t="s">
        <v>12</v>
      </c>
      <c r="E4" t="s">
        <v>19</v>
      </c>
      <c r="F4">
        <v>4500</v>
      </c>
      <c r="G4">
        <v>80</v>
      </c>
      <c r="J4" s="2" t="s">
        <v>124</v>
      </c>
      <c r="K4" s="2"/>
    </row>
    <row r="5" spans="1:11" x14ac:dyDescent="0.25">
      <c r="A5" t="s">
        <v>20</v>
      </c>
      <c r="C5" t="s">
        <v>21</v>
      </c>
      <c r="D5" t="s">
        <v>22</v>
      </c>
      <c r="E5" t="s">
        <v>23</v>
      </c>
      <c r="F5">
        <v>1800</v>
      </c>
      <c r="G5">
        <v>65</v>
      </c>
      <c r="J5" t="s">
        <v>34</v>
      </c>
      <c r="K5">
        <f>INDEX(F1:F11,MATCH(J5,A1:A11,0))</f>
        <v>12000</v>
      </c>
    </row>
    <row r="6" spans="1:11" x14ac:dyDescent="0.25">
      <c r="A6" t="s">
        <v>24</v>
      </c>
      <c r="C6" t="s">
        <v>25</v>
      </c>
      <c r="D6" t="s">
        <v>22</v>
      </c>
      <c r="E6" t="s">
        <v>26</v>
      </c>
      <c r="F6">
        <v>900</v>
      </c>
      <c r="G6">
        <v>120</v>
      </c>
    </row>
    <row r="7" spans="1:11" x14ac:dyDescent="0.25">
      <c r="A7" t="s">
        <v>27</v>
      </c>
      <c r="C7" t="s">
        <v>28</v>
      </c>
      <c r="D7" t="s">
        <v>12</v>
      </c>
      <c r="E7" t="s">
        <v>29</v>
      </c>
      <c r="F7">
        <v>12500</v>
      </c>
      <c r="G7">
        <v>18</v>
      </c>
      <c r="J7" s="2" t="s">
        <v>125</v>
      </c>
      <c r="K7" s="2"/>
    </row>
    <row r="8" spans="1:11" x14ac:dyDescent="0.25">
      <c r="A8" t="s">
        <v>30</v>
      </c>
      <c r="C8" t="s">
        <v>31</v>
      </c>
      <c r="D8" t="s">
        <v>32</v>
      </c>
      <c r="E8" t="s">
        <v>33</v>
      </c>
      <c r="F8">
        <v>8500</v>
      </c>
      <c r="G8">
        <v>20</v>
      </c>
      <c r="I8" t="s">
        <v>24</v>
      </c>
      <c r="J8" t="str">
        <f>INDEX(E1:E10,MATCH(I8,A1:A11,0))</f>
        <v>HP</v>
      </c>
    </row>
    <row r="9" spans="1:11" x14ac:dyDescent="0.25">
      <c r="A9" t="s">
        <v>34</v>
      </c>
      <c r="C9" t="s">
        <v>35</v>
      </c>
      <c r="D9" t="s">
        <v>32</v>
      </c>
      <c r="E9" t="s">
        <v>36</v>
      </c>
      <c r="F9">
        <v>12000</v>
      </c>
      <c r="G9">
        <v>15</v>
      </c>
    </row>
    <row r="10" spans="1:11" x14ac:dyDescent="0.25">
      <c r="A10" t="s">
        <v>37</v>
      </c>
      <c r="C10" t="s">
        <v>38</v>
      </c>
      <c r="D10" t="s">
        <v>12</v>
      </c>
      <c r="E10" t="s">
        <v>39</v>
      </c>
      <c r="F10">
        <v>16000</v>
      </c>
      <c r="G10">
        <v>30</v>
      </c>
      <c r="J10" s="2" t="s">
        <v>126</v>
      </c>
      <c r="K10" s="2"/>
    </row>
    <row r="11" spans="1:11" x14ac:dyDescent="0.25">
      <c r="A11" t="s">
        <v>40</v>
      </c>
      <c r="C11" t="s">
        <v>41</v>
      </c>
      <c r="D11" t="s">
        <v>22</v>
      </c>
      <c r="E11" t="s">
        <v>23</v>
      </c>
      <c r="F11">
        <v>3500</v>
      </c>
      <c r="G11">
        <v>50</v>
      </c>
      <c r="J11" t="s">
        <v>24</v>
      </c>
      <c r="K11">
        <f>INDEX(G1:G11,MATCH(J11,A1:A11,0))</f>
        <v>120</v>
      </c>
    </row>
    <row r="13" spans="1:11" x14ac:dyDescent="0.25">
      <c r="J13" s="2" t="s">
        <v>127</v>
      </c>
      <c r="K13" s="2"/>
    </row>
    <row r="14" spans="1:11" x14ac:dyDescent="0.25">
      <c r="J14" t="s">
        <v>20</v>
      </c>
      <c r="K14" t="str">
        <f>INDEX(D1:D11,MATCH(J14,A1:A11,0))</f>
        <v>Accessories</v>
      </c>
    </row>
  </sheetData>
  <mergeCells count="5">
    <mergeCell ref="H1:I1"/>
    <mergeCell ref="J4:K4"/>
    <mergeCell ref="J7:K7"/>
    <mergeCell ref="J10:K10"/>
    <mergeCell ref="J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E874-9BF6-4A95-8B5C-70F6F71DE26A}">
  <dimension ref="A1:I16"/>
  <sheetViews>
    <sheetView workbookViewId="0">
      <selection activeCell="I19" sqref="I19"/>
    </sheetView>
  </sheetViews>
  <sheetFormatPr defaultRowHeight="15" x14ac:dyDescent="0.25"/>
  <sheetData>
    <row r="1" spans="1:9" x14ac:dyDescent="0.25">
      <c r="A1" t="s">
        <v>42</v>
      </c>
      <c r="B1" t="s">
        <v>3</v>
      </c>
      <c r="C1" t="s">
        <v>43</v>
      </c>
      <c r="D1" t="s">
        <v>44</v>
      </c>
      <c r="E1" t="s">
        <v>45</v>
      </c>
      <c r="F1" t="s">
        <v>46</v>
      </c>
    </row>
    <row r="2" spans="1:9" x14ac:dyDescent="0.25">
      <c r="A2" t="s">
        <v>47</v>
      </c>
      <c r="B2" t="s">
        <v>7</v>
      </c>
      <c r="C2" t="s">
        <v>48</v>
      </c>
      <c r="D2" t="s">
        <v>49</v>
      </c>
      <c r="E2" t="s">
        <v>50</v>
      </c>
      <c r="F2" t="s">
        <v>47</v>
      </c>
    </row>
    <row r="3" spans="1:9" x14ac:dyDescent="0.25">
      <c r="A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9" x14ac:dyDescent="0.25">
      <c r="A4" t="s">
        <v>56</v>
      </c>
      <c r="C4" t="s">
        <v>57</v>
      </c>
      <c r="D4" t="s">
        <v>58</v>
      </c>
      <c r="E4" t="s">
        <v>54</v>
      </c>
      <c r="F4" t="s">
        <v>59</v>
      </c>
    </row>
    <row r="5" spans="1:9" x14ac:dyDescent="0.25">
      <c r="A5" t="s">
        <v>60</v>
      </c>
      <c r="C5" t="s">
        <v>61</v>
      </c>
      <c r="D5" t="s">
        <v>62</v>
      </c>
      <c r="E5" t="s">
        <v>63</v>
      </c>
      <c r="F5" t="s">
        <v>55</v>
      </c>
    </row>
    <row r="6" spans="1:9" x14ac:dyDescent="0.25">
      <c r="A6" t="s">
        <v>64</v>
      </c>
      <c r="C6" t="s">
        <v>65</v>
      </c>
      <c r="D6" t="s">
        <v>66</v>
      </c>
      <c r="E6" t="s">
        <v>63</v>
      </c>
      <c r="F6" t="s">
        <v>59</v>
      </c>
      <c r="H6" s="2" t="s">
        <v>128</v>
      </c>
      <c r="I6" s="2"/>
    </row>
    <row r="7" spans="1:9" x14ac:dyDescent="0.25">
      <c r="A7" t="s">
        <v>67</v>
      </c>
      <c r="C7" t="s">
        <v>68</v>
      </c>
      <c r="D7" t="s">
        <v>69</v>
      </c>
      <c r="E7" t="s">
        <v>70</v>
      </c>
      <c r="F7" t="s">
        <v>55</v>
      </c>
      <c r="H7" t="s">
        <v>74</v>
      </c>
      <c r="I7" t="str">
        <f>INDEX(C1:C12,MATCH(H7,A1:A12,0))</f>
        <v>Rohan Gupta</v>
      </c>
    </row>
    <row r="8" spans="1:9" x14ac:dyDescent="0.25">
      <c r="A8" t="s">
        <v>71</v>
      </c>
      <c r="C8" t="s">
        <v>72</v>
      </c>
      <c r="D8" t="s">
        <v>73</v>
      </c>
      <c r="E8" t="s">
        <v>73</v>
      </c>
      <c r="F8" t="s">
        <v>59</v>
      </c>
    </row>
    <row r="9" spans="1:9" x14ac:dyDescent="0.25">
      <c r="A9" t="s">
        <v>74</v>
      </c>
      <c r="C9" t="s">
        <v>75</v>
      </c>
      <c r="D9" t="s">
        <v>76</v>
      </c>
      <c r="E9" t="s">
        <v>77</v>
      </c>
      <c r="F9" t="s">
        <v>55</v>
      </c>
      <c r="H9" s="2" t="s">
        <v>124</v>
      </c>
      <c r="I9" s="2"/>
    </row>
    <row r="10" spans="1:9" x14ac:dyDescent="0.25">
      <c r="A10" t="s">
        <v>78</v>
      </c>
      <c r="C10" t="s">
        <v>79</v>
      </c>
      <c r="D10" t="s">
        <v>80</v>
      </c>
      <c r="E10" t="s">
        <v>81</v>
      </c>
      <c r="F10" t="s">
        <v>59</v>
      </c>
      <c r="H10" t="s">
        <v>85</v>
      </c>
      <c r="I10" t="str">
        <f>INDEX(D1:D12,MATCH(H10,A1:A12))</f>
        <v>Kochi</v>
      </c>
    </row>
    <row r="11" spans="1:9" x14ac:dyDescent="0.25">
      <c r="A11" t="s">
        <v>82</v>
      </c>
      <c r="C11" t="s">
        <v>83</v>
      </c>
      <c r="D11" t="s">
        <v>84</v>
      </c>
      <c r="E11" t="s">
        <v>54</v>
      </c>
      <c r="F11" t="s">
        <v>55</v>
      </c>
    </row>
    <row r="12" spans="1:9" x14ac:dyDescent="0.25">
      <c r="A12" t="s">
        <v>85</v>
      </c>
      <c r="C12" t="s">
        <v>86</v>
      </c>
      <c r="D12" t="s">
        <v>87</v>
      </c>
      <c r="E12" t="s">
        <v>88</v>
      </c>
      <c r="F12" t="s">
        <v>59</v>
      </c>
      <c r="H12" s="2" t="s">
        <v>125</v>
      </c>
      <c r="I12" s="2"/>
    </row>
    <row r="13" spans="1:9" x14ac:dyDescent="0.25">
      <c r="H13" t="s">
        <v>60</v>
      </c>
      <c r="I13" t="str">
        <f>INDEX(D1:D12,MATCH(H13,A1:A12))</f>
        <v>Mumbai</v>
      </c>
    </row>
    <row r="15" spans="1:9" x14ac:dyDescent="0.25">
      <c r="H15" s="2" t="s">
        <v>129</v>
      </c>
      <c r="I15" s="2"/>
    </row>
    <row r="16" spans="1:9" x14ac:dyDescent="0.25">
      <c r="H16" t="s">
        <v>71</v>
      </c>
      <c r="I16" t="str">
        <f>INDEX(F1:F12,MATCH(H16,A1:A12))</f>
        <v>Female</v>
      </c>
    </row>
  </sheetData>
  <mergeCells count="4">
    <mergeCell ref="H6:I6"/>
    <mergeCell ref="H9:I9"/>
    <mergeCell ref="H12:I12"/>
    <mergeCell ref="H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2CC4-A210-43D3-8D3D-203EF14C18E5}">
  <dimension ref="A1:H13"/>
  <sheetViews>
    <sheetView workbookViewId="0">
      <selection activeCell="E14" sqref="E14"/>
    </sheetView>
  </sheetViews>
  <sheetFormatPr defaultRowHeight="15" x14ac:dyDescent="0.25"/>
  <cols>
    <col min="1" max="1" width="8.140625" bestFit="1" customWidth="1"/>
    <col min="2" max="2" width="12.140625" bestFit="1" customWidth="1"/>
    <col min="3" max="3" width="11.7109375" bestFit="1" customWidth="1"/>
    <col min="4" max="4" width="12.42578125" bestFit="1" customWidth="1"/>
    <col min="7" max="7" width="5" bestFit="1" customWidth="1"/>
    <col min="8" max="8" width="12.140625" bestFit="1" customWidth="1"/>
  </cols>
  <sheetData>
    <row r="1" spans="1:8" x14ac:dyDescent="0.25">
      <c r="A1" t="s">
        <v>89</v>
      </c>
      <c r="B1" t="s">
        <v>90</v>
      </c>
      <c r="C1" t="s">
        <v>44</v>
      </c>
      <c r="D1" t="s">
        <v>45</v>
      </c>
    </row>
    <row r="2" spans="1:8" x14ac:dyDescent="0.25">
      <c r="A2" t="s">
        <v>91</v>
      </c>
      <c r="B2" t="s">
        <v>48</v>
      </c>
      <c r="C2" t="s">
        <v>49</v>
      </c>
      <c r="D2" t="s">
        <v>8</v>
      </c>
    </row>
    <row r="3" spans="1:8" x14ac:dyDescent="0.25">
      <c r="A3" t="s">
        <v>92</v>
      </c>
      <c r="B3" t="s">
        <v>93</v>
      </c>
      <c r="C3" t="s">
        <v>53</v>
      </c>
      <c r="D3" t="s">
        <v>54</v>
      </c>
    </row>
    <row r="4" spans="1:8" x14ac:dyDescent="0.25">
      <c r="A4" t="s">
        <v>94</v>
      </c>
      <c r="B4" t="s">
        <v>95</v>
      </c>
      <c r="C4" t="s">
        <v>58</v>
      </c>
      <c r="D4" t="s">
        <v>54</v>
      </c>
    </row>
    <row r="5" spans="1:8" x14ac:dyDescent="0.25">
      <c r="A5" t="s">
        <v>96</v>
      </c>
      <c r="B5" t="s">
        <v>97</v>
      </c>
      <c r="C5" t="s">
        <v>62</v>
      </c>
      <c r="D5" t="s">
        <v>63</v>
      </c>
    </row>
    <row r="6" spans="1:8" x14ac:dyDescent="0.25">
      <c r="A6" t="s">
        <v>98</v>
      </c>
      <c r="B6" t="s">
        <v>99</v>
      </c>
      <c r="C6" t="s">
        <v>66</v>
      </c>
      <c r="D6" t="s">
        <v>63</v>
      </c>
    </row>
    <row r="7" spans="1:8" x14ac:dyDescent="0.25">
      <c r="A7" t="s">
        <v>100</v>
      </c>
      <c r="B7" t="s">
        <v>101</v>
      </c>
      <c r="C7" t="s">
        <v>69</v>
      </c>
      <c r="D7" t="s">
        <v>70</v>
      </c>
    </row>
    <row r="9" spans="1:8" x14ac:dyDescent="0.25">
      <c r="G9" t="s">
        <v>96</v>
      </c>
      <c r="H9" t="str">
        <f>INDEX(B1:B7,MATCH(G9,A1:A7))</f>
        <v>Central Store</v>
      </c>
    </row>
    <row r="11" spans="1:8" x14ac:dyDescent="0.25">
      <c r="G11" t="s">
        <v>100</v>
      </c>
      <c r="H11" t="str">
        <f>INDEX(C1:C7,MATCH(G11,A1:A7))</f>
        <v>Jaipur</v>
      </c>
    </row>
    <row r="13" spans="1:8" x14ac:dyDescent="0.25">
      <c r="G13" t="s">
        <v>94</v>
      </c>
      <c r="H13" t="str">
        <f>INDEX(D1:D7,MATCH(G13,A1:A7))</f>
        <v>Gujarat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F6AE-49C1-4291-B1C9-E88DB04A95FB}">
  <dimension ref="A1:R17"/>
  <sheetViews>
    <sheetView workbookViewId="0">
      <selection activeCell="P13" sqref="P13"/>
    </sheetView>
  </sheetViews>
  <sheetFormatPr defaultRowHeight="15" x14ac:dyDescent="0.25"/>
  <cols>
    <col min="1" max="1" width="7.42578125" bestFit="1" customWidth="1"/>
    <col min="2" max="2" width="10.140625" bestFit="1" customWidth="1"/>
    <col min="3" max="3" width="11.7109375" bestFit="1" customWidth="1"/>
    <col min="4" max="4" width="8.42578125" bestFit="1" customWidth="1"/>
    <col min="5" max="5" width="10.28515625" bestFit="1" customWidth="1"/>
    <col min="6" max="6" width="8.140625" bestFit="1" customWidth="1"/>
    <col min="8" max="8" width="12.140625" bestFit="1" customWidth="1"/>
  </cols>
  <sheetData>
    <row r="1" spans="1:18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89</v>
      </c>
    </row>
    <row r="2" spans="1:18" x14ac:dyDescent="0.25">
      <c r="A2" t="s">
        <v>107</v>
      </c>
      <c r="B2" t="s">
        <v>9</v>
      </c>
      <c r="C2" t="s">
        <v>8</v>
      </c>
      <c r="D2" t="s">
        <v>91</v>
      </c>
      <c r="E2" t="s">
        <v>8</v>
      </c>
      <c r="F2" t="s">
        <v>91</v>
      </c>
    </row>
    <row r="3" spans="1:18" x14ac:dyDescent="0.25">
      <c r="A3" t="s">
        <v>108</v>
      </c>
      <c r="B3" t="s">
        <v>10</v>
      </c>
      <c r="C3" t="s">
        <v>51</v>
      </c>
      <c r="D3">
        <v>1</v>
      </c>
      <c r="E3" s="1">
        <v>46023</v>
      </c>
      <c r="F3" t="s">
        <v>92</v>
      </c>
      <c r="R3" t="s">
        <v>130</v>
      </c>
    </row>
    <row r="4" spans="1:18" x14ac:dyDescent="0.25">
      <c r="A4" t="s">
        <v>109</v>
      </c>
      <c r="B4" t="s">
        <v>24</v>
      </c>
      <c r="C4" t="s">
        <v>56</v>
      </c>
      <c r="D4">
        <v>3</v>
      </c>
      <c r="E4" s="1">
        <v>46024</v>
      </c>
      <c r="F4" t="s">
        <v>94</v>
      </c>
      <c r="H4" t="str">
        <f>INDEX(Products!$C$2:$C$12,MATCH(sales!B4,Products!$A$2:$A$12))</f>
        <v>Mouse</v>
      </c>
      <c r="J4" t="str">
        <f>INDEX(Customers!$C$1:$C$12,MATCH(sales!C3,sales!$C$1:$C$17,0))</f>
        <v>Amit Patel</v>
      </c>
      <c r="M4" t="str">
        <f>INDEX(STORE!$B$1:$B$7,MATCH(sales!F3,sales!$F$1:$F$17,0))</f>
        <v>Alpha Store</v>
      </c>
      <c r="P4">
        <f>INDEX(Products!$F$1:$F$11,MATCH(sales!B3,sales!$B$1:$B$17,0))</f>
        <v>32000</v>
      </c>
      <c r="R4">
        <f>D3*P4</f>
        <v>32000</v>
      </c>
    </row>
    <row r="5" spans="1:18" x14ac:dyDescent="0.25">
      <c r="A5" t="s">
        <v>110</v>
      </c>
      <c r="B5" t="s">
        <v>17</v>
      </c>
      <c r="C5" t="s">
        <v>60</v>
      </c>
      <c r="D5">
        <v>2</v>
      </c>
      <c r="E5" s="1">
        <v>46025</v>
      </c>
      <c r="F5" t="s">
        <v>96</v>
      </c>
      <c r="H5" t="str">
        <f>INDEX(Products!$C$2:$C$12,MATCH(sales!B5,Products!$A$2:$A$12))</f>
        <v>Headphones</v>
      </c>
      <c r="J5" t="str">
        <f>INDEX(Customers!$C$1:$C$12,MATCH(sales!C4,sales!$C$1:$C$17,0))</f>
        <v>Priya Shah</v>
      </c>
      <c r="M5" t="str">
        <f>INDEX(STORE!$B$1:$B$7,MATCH(sales!F4,sales!$F$1:$F$17,0))</f>
        <v>Beta Store</v>
      </c>
      <c r="P5">
        <f>INDEX(Products!$F$1:$F$11,MATCH(sales!B4,sales!$B$1:$B$17,0))</f>
        <v>4500</v>
      </c>
      <c r="R5">
        <f t="shared" ref="R5:R17" si="0">D4*P5</f>
        <v>13500</v>
      </c>
    </row>
    <row r="6" spans="1:18" x14ac:dyDescent="0.25">
      <c r="A6" t="s">
        <v>111</v>
      </c>
      <c r="B6" t="s">
        <v>37</v>
      </c>
      <c r="C6" t="s">
        <v>64</v>
      </c>
      <c r="D6">
        <v>1</v>
      </c>
      <c r="E6" s="1">
        <v>46026</v>
      </c>
      <c r="F6" t="s">
        <v>98</v>
      </c>
      <c r="H6" t="str">
        <f>INDEX(Products!$C$2:$C$12,MATCH(sales!B6,Products!$A$2:$A$12))</f>
        <v>Monitor</v>
      </c>
      <c r="J6" t="str">
        <f>INDEX(Customers!$C$1:$C$12,MATCH(sales!C5,sales!$C$1:$C$17,0))</f>
        <v>Rahul Mehta</v>
      </c>
      <c r="M6" t="str">
        <f>INDEX(STORE!$B$1:$B$7,MATCH(sales!F5,sales!$F$1:$F$17,0))</f>
        <v>Central Store</v>
      </c>
      <c r="P6">
        <f>INDEX(Products!$F$1:$F$11,MATCH(sales!B5,sales!$B$1:$B$17,0))</f>
        <v>1800</v>
      </c>
      <c r="R6">
        <f t="shared" si="0"/>
        <v>3600</v>
      </c>
    </row>
    <row r="7" spans="1:18" x14ac:dyDescent="0.25">
      <c r="A7" t="s">
        <v>112</v>
      </c>
      <c r="B7" t="s">
        <v>14</v>
      </c>
      <c r="C7" t="s">
        <v>67</v>
      </c>
      <c r="D7">
        <v>2</v>
      </c>
      <c r="E7" s="1">
        <v>46027</v>
      </c>
      <c r="F7" t="s">
        <v>100</v>
      </c>
      <c r="H7" t="str">
        <f>INDEX(Products!$C$2:$C$12,MATCH(sales!B7,Products!$A$2:$A$12))</f>
        <v>Smartphone</v>
      </c>
      <c r="J7" t="str">
        <f>INDEX(Customers!$C$1:$C$12,MATCH(sales!C6,sales!$C$1:$C$17,0))</f>
        <v>Sneha Joshi</v>
      </c>
      <c r="M7" t="str">
        <f>INDEX(STORE!$B$1:$B$7,MATCH(sales!F6,sales!$F$1:$F$17,0))</f>
        <v>Digital Hub</v>
      </c>
      <c r="P7">
        <f>INDEX(Products!$F$1:$F$11,MATCH(sales!B6,sales!$B$1:$B$17,0))</f>
        <v>900</v>
      </c>
      <c r="R7">
        <f t="shared" si="0"/>
        <v>900</v>
      </c>
    </row>
    <row r="8" spans="1:18" x14ac:dyDescent="0.25">
      <c r="A8" t="s">
        <v>113</v>
      </c>
      <c r="B8" t="s">
        <v>30</v>
      </c>
      <c r="C8" t="s">
        <v>71</v>
      </c>
      <c r="D8">
        <v>1</v>
      </c>
      <c r="E8" s="1">
        <v>46028</v>
      </c>
      <c r="F8" t="s">
        <v>92</v>
      </c>
      <c r="H8" t="str">
        <f>INDEX(Products!$C$2:$C$12,MATCH(sales!B8,Products!$A$2:$A$12))</f>
        <v>Office Chair</v>
      </c>
      <c r="J8" t="str">
        <f>INDEX(Customers!$C$1:$C$12,MATCH(sales!C7,sales!$C$1:$C$17,0))</f>
        <v>Arjun Singh</v>
      </c>
      <c r="M8" t="str">
        <f>INDEX(STORE!$B$1:$B$7,MATCH(sales!F7,sales!$F$1:$F$17,0))</f>
        <v>Smart World</v>
      </c>
      <c r="P8">
        <f>INDEX(Products!$F$1:$F$11,MATCH(sales!B7,sales!$B$1:$B$17,0))</f>
        <v>12500</v>
      </c>
      <c r="R8">
        <f t="shared" si="0"/>
        <v>25000</v>
      </c>
    </row>
    <row r="9" spans="1:18" x14ac:dyDescent="0.25">
      <c r="A9" t="s">
        <v>114</v>
      </c>
      <c r="B9" t="s">
        <v>27</v>
      </c>
      <c r="C9" t="s">
        <v>74</v>
      </c>
      <c r="D9">
        <v>1</v>
      </c>
      <c r="E9" s="1">
        <v>46029</v>
      </c>
      <c r="F9" t="s">
        <v>94</v>
      </c>
      <c r="H9" t="str">
        <f>INDEX(Products!$C$2:$C$12,MATCH(sales!B9,Products!$A$2:$A$12))</f>
        <v>Printer</v>
      </c>
      <c r="J9" t="str">
        <f>INDEX(Customers!$C$1:$C$12,MATCH(sales!C8,sales!$C$1:$C$17,0))</f>
        <v>Neha Verma</v>
      </c>
      <c r="M9" t="str">
        <f>INDEX(STORE!$B$1:$B$7,MATCH(sales!F8,sales!$F$1:$F$17,0))</f>
        <v>Alpha Store</v>
      </c>
      <c r="P9">
        <f>INDEX(Products!$F$1:$F$11,MATCH(sales!B8,sales!$B$1:$B$17,0))</f>
        <v>8500</v>
      </c>
      <c r="R9">
        <f t="shared" si="0"/>
        <v>8500</v>
      </c>
    </row>
    <row r="10" spans="1:18" x14ac:dyDescent="0.25">
      <c r="A10" t="s">
        <v>115</v>
      </c>
      <c r="B10" t="s">
        <v>40</v>
      </c>
      <c r="C10" t="s">
        <v>78</v>
      </c>
      <c r="D10">
        <v>2</v>
      </c>
      <c r="E10" s="1">
        <v>46030</v>
      </c>
      <c r="F10" t="s">
        <v>96</v>
      </c>
      <c r="H10" t="str">
        <f>INDEX(Products!$C$2:$C$12,MATCH(sales!B10,Products!$A$2:$A$12))</f>
        <v>Webcam</v>
      </c>
      <c r="J10" t="str">
        <f>INDEX(Customers!$C$1:$C$12,MATCH(sales!C9,sales!$C$1:$C$17,0))</f>
        <v>Rohan Gupta</v>
      </c>
      <c r="M10" t="str">
        <f>INDEX(STORE!$B$1:$B$7,MATCH(sales!F9,sales!$F$1:$F$17,0))</f>
        <v>Beta Store</v>
      </c>
      <c r="P10">
        <f>INDEX(Products!$F$1:$F$11,MATCH(sales!B9,sales!$B$1:$B$17,0))</f>
        <v>12000</v>
      </c>
      <c r="R10">
        <f t="shared" si="0"/>
        <v>12000</v>
      </c>
    </row>
    <row r="11" spans="1:18" x14ac:dyDescent="0.25">
      <c r="A11" t="s">
        <v>116</v>
      </c>
      <c r="B11" t="s">
        <v>20</v>
      </c>
      <c r="C11" t="s">
        <v>82</v>
      </c>
      <c r="D11">
        <v>4</v>
      </c>
      <c r="E11" s="1">
        <v>46031</v>
      </c>
      <c r="F11" t="s">
        <v>98</v>
      </c>
      <c r="H11" t="str">
        <f>INDEX(Products!$C$2:$C$12,MATCH(sales!B11,Products!$A$2:$A$12))</f>
        <v>Keyboard</v>
      </c>
      <c r="J11" t="str">
        <f>INDEX(Customers!$C$1:$C$12,MATCH(sales!C10,sales!$C$1:$C$17,0))</f>
        <v>Pooja Sharma</v>
      </c>
      <c r="M11" t="str">
        <f>INDEX(STORE!$B$1:$B$7,MATCH(sales!F10,sales!$F$1:$F$17,0))</f>
        <v>Central Store</v>
      </c>
      <c r="P11">
        <f>INDEX(Products!$F$1:$F$11,MATCH(sales!B10,sales!$B$1:$B$17,0))</f>
        <v>16000</v>
      </c>
      <c r="R11">
        <f t="shared" si="0"/>
        <v>32000</v>
      </c>
    </row>
    <row r="12" spans="1:18" x14ac:dyDescent="0.25">
      <c r="A12" t="s">
        <v>117</v>
      </c>
      <c r="B12" t="s">
        <v>34</v>
      </c>
      <c r="C12" t="s">
        <v>85</v>
      </c>
      <c r="D12">
        <v>1</v>
      </c>
      <c r="E12" s="1">
        <v>46032</v>
      </c>
      <c r="F12" t="s">
        <v>100</v>
      </c>
      <c r="H12" t="str">
        <f>INDEX(Products!$C$2:$C$12,MATCH(sales!B12,Products!$A$2:$A$12))</f>
        <v>Office Desk</v>
      </c>
      <c r="J12" t="str">
        <f>INDEX(Customers!$C$1:$C$12,MATCH(sales!C11,sales!$C$1:$C$17,0))</f>
        <v>Karan Desai</v>
      </c>
      <c r="M12" t="str">
        <f>INDEX(STORE!$B$1:$B$7,MATCH(sales!F11,sales!$F$1:$F$17,0))</f>
        <v>Digital Hub</v>
      </c>
      <c r="P12">
        <f>INDEX(Products!$F$1:$F$11,MATCH(sales!B11,sales!$B$1:$B$17,0))</f>
        <v>3500</v>
      </c>
      <c r="R12">
        <f t="shared" si="0"/>
        <v>14000</v>
      </c>
    </row>
    <row r="13" spans="1:18" x14ac:dyDescent="0.25">
      <c r="A13" t="s">
        <v>118</v>
      </c>
      <c r="B13" t="s">
        <v>24</v>
      </c>
      <c r="C13" t="s">
        <v>51</v>
      </c>
      <c r="D13">
        <v>5</v>
      </c>
      <c r="E13" s="1">
        <v>46033</v>
      </c>
      <c r="F13" t="s">
        <v>92</v>
      </c>
      <c r="H13" t="str">
        <f>INDEX(Products!$C$2:$C$12,MATCH(sales!B13,Products!$A$2:$A$12))</f>
        <v>Mouse</v>
      </c>
      <c r="J13" t="str">
        <f>INDEX(Customers!$C$1:$C$12,MATCH(sales!C12,sales!$C$1:$C$17,0))</f>
        <v>Anjali Nair</v>
      </c>
      <c r="M13" t="str">
        <f>INDEX(STORE!$B$1:$B$7,MATCH(sales!F12,sales!$F$1:$F$17,0))</f>
        <v>Smart World</v>
      </c>
      <c r="P13" t="e">
        <f>INDEX(Products!$F$1:$F$11,MATCH(sales!B12,sales!$B$1:$B$17,0))</f>
        <v>#REF!</v>
      </c>
      <c r="R13" t="e">
        <f t="shared" si="0"/>
        <v>#REF!</v>
      </c>
    </row>
    <row r="14" spans="1:18" x14ac:dyDescent="0.25">
      <c r="A14" t="s">
        <v>119</v>
      </c>
      <c r="B14" t="s">
        <v>17</v>
      </c>
      <c r="C14" t="s">
        <v>56</v>
      </c>
      <c r="D14">
        <v>3</v>
      </c>
      <c r="E14" s="1">
        <v>46034</v>
      </c>
      <c r="F14" t="s">
        <v>94</v>
      </c>
      <c r="H14" t="str">
        <f>INDEX(Products!$C$2:$C$12,MATCH(sales!B14,Products!$A$2:$A$12))</f>
        <v>Headphones</v>
      </c>
      <c r="J14" t="str">
        <f>INDEX(Customers!$C$1:$C$12,MATCH(sales!C13,sales!$C$1:$C$17,0))</f>
        <v>Amit Patel</v>
      </c>
      <c r="M14" t="str">
        <f>INDEX(STORE!$B$1:$B$7,MATCH(sales!F13,sales!$F$1:$F$17,0))</f>
        <v>Alpha Store</v>
      </c>
      <c r="P14">
        <f>INDEX(Products!$F$1:$F$11,MATCH(sales!B13,sales!$B$1:$B$17,0))</f>
        <v>4500</v>
      </c>
      <c r="R14">
        <f t="shared" si="0"/>
        <v>22500</v>
      </c>
    </row>
    <row r="15" spans="1:18" x14ac:dyDescent="0.25">
      <c r="A15" t="s">
        <v>120</v>
      </c>
      <c r="B15" t="s">
        <v>10</v>
      </c>
      <c r="C15" t="s">
        <v>60</v>
      </c>
      <c r="D15">
        <v>1</v>
      </c>
      <c r="E15" s="1">
        <v>46035</v>
      </c>
      <c r="F15" t="s">
        <v>96</v>
      </c>
      <c r="H15" t="str">
        <f>INDEX(Products!$C$2:$C$12,MATCH(sales!B15,Products!$A$2:$A$12))</f>
        <v>Laptop</v>
      </c>
      <c r="J15" t="str">
        <f>INDEX(Customers!$C$1:$C$12,MATCH(sales!C14,sales!$C$1:$C$17,0))</f>
        <v>Priya Shah</v>
      </c>
      <c r="M15" t="str">
        <f>INDEX(STORE!$B$1:$B$7,MATCH(sales!F14,sales!$F$1:$F$17,0))</f>
        <v>Beta Store</v>
      </c>
      <c r="P15">
        <f>INDEX(Products!$F$1:$F$11,MATCH(sales!B14,sales!$B$1:$B$17,0))</f>
        <v>1800</v>
      </c>
      <c r="R15">
        <f t="shared" si="0"/>
        <v>5400</v>
      </c>
    </row>
    <row r="16" spans="1:18" x14ac:dyDescent="0.25">
      <c r="A16" t="s">
        <v>121</v>
      </c>
      <c r="B16" t="s">
        <v>37</v>
      </c>
      <c r="C16" t="s">
        <v>64</v>
      </c>
      <c r="D16">
        <v>2</v>
      </c>
      <c r="E16" s="1">
        <v>46036</v>
      </c>
      <c r="F16" t="s">
        <v>98</v>
      </c>
      <c r="H16" t="str">
        <f>INDEX(Products!$C$2:$C$12,MATCH(sales!B16,Products!$A$2:$A$12))</f>
        <v>Monitor</v>
      </c>
      <c r="J16" t="str">
        <f>INDEX(Customers!$C$1:$C$12,MATCH(sales!C15,sales!$C$1:$C$17,0))</f>
        <v>Rahul Mehta</v>
      </c>
      <c r="M16" t="str">
        <f>INDEX(STORE!$B$1:$B$7,MATCH(sales!F15,sales!$F$1:$F$17,0))</f>
        <v>Central Store</v>
      </c>
      <c r="P16">
        <f>INDEX(Products!$F$1:$F$11,MATCH(sales!B15,sales!$B$1:$B$17,0))</f>
        <v>32000</v>
      </c>
      <c r="R16">
        <f t="shared" si="0"/>
        <v>32000</v>
      </c>
    </row>
    <row r="17" spans="1:18" x14ac:dyDescent="0.25">
      <c r="A17" t="s">
        <v>122</v>
      </c>
      <c r="B17" t="s">
        <v>14</v>
      </c>
      <c r="C17" t="s">
        <v>67</v>
      </c>
      <c r="D17">
        <v>1</v>
      </c>
      <c r="E17" s="1">
        <v>46037</v>
      </c>
      <c r="F17" t="s">
        <v>100</v>
      </c>
      <c r="H17" t="str">
        <f>INDEX(Products!$C$2:$C$12,MATCH(sales!B17,Products!$A$2:$A$12))</f>
        <v>Smartphone</v>
      </c>
      <c r="J17" t="str">
        <f>INDEX(Customers!$C$1:$C$12,MATCH(sales!C16,sales!$C$1:$C$17,0))</f>
        <v>Sneha Joshi</v>
      </c>
      <c r="M17" t="str">
        <f>INDEX(STORE!$B$1:$B$7,MATCH(sales!F16,sales!$F$1:$F$17,0))</f>
        <v>Digital Hub</v>
      </c>
      <c r="P17">
        <f>INDEX(Products!$F$1:$F$11,MATCH(sales!B16,sales!$B$1:$B$17,0))</f>
        <v>900</v>
      </c>
      <c r="R17">
        <f t="shared" si="0"/>
        <v>1800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A73F-01F7-4A02-993F-E5985C4F7D50}">
  <dimension ref="A1"/>
  <sheetViews>
    <sheetView workbookViewId="0">
      <selection activeCell="D26" sqref="D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STORE</vt:lpstr>
      <vt:lpstr>sales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rahimorakhiya@gmail.com</dc:creator>
  <cp:lastModifiedBy>rahimorakhiya@gmail.com</cp:lastModifiedBy>
  <dcterms:created xsi:type="dcterms:W3CDTF">2026-07-29T04:53:37Z</dcterms:created>
  <dcterms:modified xsi:type="dcterms:W3CDTF">2026-07-29T05:23:25Z</dcterms:modified>
</cp:coreProperties>
</file>